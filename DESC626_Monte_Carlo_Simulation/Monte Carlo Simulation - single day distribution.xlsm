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/>
  <mc:AlternateContent xmlns:mc="http://schemas.openxmlformats.org/markup-compatibility/2006">
    <mc:Choice Requires="x15">
      <x15ac:absPath xmlns:x15ac="http://schemas.microsoft.com/office/spreadsheetml/2010/11/ac" url="C:\Users\62647\Desktop\PGBS\Spring Section B\DESC626.11 Simulation Modeling\Group Project\"/>
    </mc:Choice>
  </mc:AlternateContent>
  <xr:revisionPtr revIDLastSave="0" documentId="13_ncr:1_{08CAAAF7-AA06-419E-9103-EAF5F4918CA2}" xr6:coauthVersionLast="47" xr6:coauthVersionMax="47" xr10:uidLastSave="{00000000-0000-0000-0000-000000000000}"/>
  <bookViews>
    <workbookView xWindow="-98" yWindow="-98" windowWidth="23236" windowHeight="13875" firstSheet="1" activeTab="2" xr2:uid="{A170B39B-312C-9F4E-8331-A4866EE1BCF6}"/>
  </bookViews>
  <sheets>
    <sheet name="Download Data - STOCK_US_XNAS_N" sheetId="1" r:id="rId1"/>
    <sheet name="Log Returns" sheetId="2" r:id="rId2"/>
    <sheet name="Monte Carlo Simulation" sheetId="3" r:id="rId3"/>
  </sheets>
  <definedNames>
    <definedName name="_xlchart.v1.0" hidden="1">'Log Returns'!$A$2:$A$252</definedName>
    <definedName name="solver_eng" localSheetId="0" hidden="1">0</definedName>
    <definedName name="solver_eng" localSheetId="1" hidden="1">0</definedName>
    <definedName name="solver_eng" localSheetId="2" hidden="1">0</definedName>
    <definedName name="solver_ntri" hidden="1">1000</definedName>
    <definedName name="solver_num" localSheetId="2" hidden="1">0</definedName>
    <definedName name="solver_rsmp" hidden="1">1</definedName>
    <definedName name="solver_rxv" localSheetId="2" hidden="1">1</definedName>
    <definedName name="solver_var" localSheetId="2" hidden="1">" "</definedName>
    <definedName name="solver_vir" localSheetId="2" hidden="1">1</definedName>
    <definedName name="solver_vst" localSheetId="2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3" l="1" a="1"/>
  <c r="O9" i="3" s="1"/>
  <c r="O10" i="3" l="1" a="1"/>
  <c r="O10" i="3" s="1"/>
  <c r="B6" i="3"/>
  <c r="B1" i="3"/>
  <c r="XFB1048550" i="3"/>
  <c r="XFB1048551" i="3"/>
  <c r="XFA1048550" i="3"/>
  <c r="XFA1048551" i="3"/>
  <c r="XFA1048552" i="3"/>
  <c r="XFA1048553" i="3"/>
  <c r="XFA1048554" i="3"/>
  <c r="XFA1048555" i="3"/>
  <c r="XFA1048556" i="3"/>
  <c r="XFA1048557" i="3"/>
  <c r="XFA1048558" i="3"/>
  <c r="XFA1048559" i="3"/>
  <c r="O11" i="3" l="1" a="1"/>
  <c r="O11" i="3" s="1"/>
  <c r="B3" i="3"/>
  <c r="B2" i="3"/>
  <c r="B4" i="3"/>
  <c r="B5" i="3" s="1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25" i="2"/>
  <c r="A226" i="2"/>
  <c r="A227" i="2"/>
  <c r="A228" i="2"/>
  <c r="A229" i="2"/>
  <c r="A230" i="2"/>
  <c r="A231" i="2"/>
  <c r="A23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" i="2"/>
  <c r="O12" i="3" l="1" a="1"/>
  <c r="O12" i="3" s="1"/>
  <c r="O13" i="3" s="1" a="1"/>
  <c r="O13" i="3" s="1"/>
  <c r="C9" i="3"/>
  <c r="D9" i="3" l="1"/>
  <c r="C10" i="3"/>
  <c r="C11" i="3" l="1"/>
  <c r="D10" i="3"/>
  <c r="D11" i="3" l="1"/>
  <c r="C12" i="3"/>
  <c r="D12" i="3" s="1"/>
  <c r="C13" i="3" l="1"/>
  <c r="D13" i="3" l="1"/>
  <c r="F11" i="3" l="1"/>
  <c r="F10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<sst xmlns="http://schemas.openxmlformats.org/spreadsheetml/2006/main" count="19" uniqueCount="19">
  <si>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Date</t>
  </si>
  <si>
    <t>Open</t>
  </si>
  <si>
    <t>High</t>
  </si>
  <si>
    <t>Low</t>
  </si>
  <si>
    <t>Close</t>
  </si>
  <si>
    <t>Volume</t>
  </si>
  <si>
    <t>Log Return</t>
  </si>
  <si>
    <t>Starting Price</t>
  </si>
  <si>
    <t>Drift (μ)</t>
  </si>
  <si>
    <t>Volatility (σ)</t>
  </si>
  <si>
    <t>Total trading days</t>
  </si>
  <si>
    <t>Standard Deviation</t>
  </si>
  <si>
    <t>days (trials of 1 year)</t>
    <phoneticPr fontId="19" type="noConversion"/>
  </si>
  <si>
    <t>Delta(Δ）</t>
    <phoneticPr fontId="19" type="noConversion"/>
  </si>
  <si>
    <t>Mean of the year</t>
    <phoneticPr fontId="19" type="noConversion"/>
  </si>
  <si>
    <t>simulated price</t>
    <phoneticPr fontId="19" type="noConversion"/>
  </si>
  <si>
    <t>Increase or Decrease from the previous day</t>
    <phoneticPr fontId="19" type="noConversion"/>
  </si>
  <si>
    <t>Price of the previous day</t>
    <phoneticPr fontId="19" type="noConversion"/>
  </si>
  <si>
    <t>simulated price (ASP)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</si>
</sst>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8"/>
      <color theme="3"/>
      <name val="等线 Light"/>
      <family val="2"/>
      <scheme val="major"/>
    </font>
    <font>
      <b/>
      <sz val="15"/>
      <color theme="3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2"/>
      <color rgb="FF006100"/>
      <name val="等线"/>
      <family val="2"/>
      <scheme val="minor"/>
    </font>
    <font>
      <sz val="12"/>
      <color rgb="FF9C0006"/>
      <name val="等线"/>
      <family val="2"/>
      <scheme val="minor"/>
    </font>
    <font>
      <sz val="12"/>
      <color rgb="FF9C5700"/>
      <name val="等线"/>
      <family val="2"/>
      <scheme val="minor"/>
    </font>
    <font>
      <sz val="12"/>
      <color rgb="FF3F3F76"/>
      <name val="等线"/>
      <family val="2"/>
      <scheme val="minor"/>
    </font>
    <font>
      <b/>
      <sz val="12"/>
      <color rgb="FF3F3F3F"/>
      <name val="等线"/>
      <family val="2"/>
      <scheme val="minor"/>
    </font>
    <font>
      <b/>
      <sz val="12"/>
      <color rgb="FFFA7D00"/>
      <name val="等线"/>
      <family val="2"/>
      <scheme val="minor"/>
    </font>
    <font>
      <sz val="12"/>
      <color rgb="FFFA7D00"/>
      <name val="等线"/>
      <family val="2"/>
      <scheme val="minor"/>
    </font>
    <font>
      <b/>
      <sz val="12"/>
      <color theme="0"/>
      <name val="等线"/>
      <family val="2"/>
      <scheme val="minor"/>
    </font>
    <font>
      <sz val="12"/>
      <color rgb="FFFF0000"/>
      <name val="等线"/>
      <family val="2"/>
      <scheme val="minor"/>
    </font>
    <font>
      <i/>
      <sz val="12"/>
      <color rgb="FF7F7F7F"/>
      <name val="等线"/>
      <family val="2"/>
      <scheme val="minor"/>
    </font>
    <font>
      <b/>
      <sz val="12"/>
      <color theme="1"/>
      <name val="等线"/>
      <family val="2"/>
      <scheme val="minor"/>
    </font>
    <font>
      <sz val="12"/>
      <color theme="0"/>
      <name val="等线"/>
      <family val="2"/>
      <scheme val="minor"/>
    </font>
    <font>
      <b/>
      <sz val="12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3" fontId="0" fillId="0" borderId="0" xfId="0" applyNumberFormat="1"/>
    <xf numFmtId="0" fontId="18" fillId="0" borderId="0" xfId="0" applyFont="1"/>
    <xf numFmtId="0" fontId="0" fillId="0" borderId="0" xfId="0" applyAlignment="1">
      <alignment horizontal="center"/>
    </xf>
    <xf numFmtId="0" fontId="20" fillId="0" borderId="0" xfId="0" applyFont="1"/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/>
              <a:t>Log Return</a:t>
            </a:r>
            <a:r>
              <a:rPr lang="zh-CN" altLang="en-US"/>
              <a:t> </a:t>
            </a:r>
            <a:r>
              <a:rPr lang="en-US"/>
              <a:t>Distribution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clusteredColumn" uniqueId="{314930FB-0018-834D-8CE0-45D5155A614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6350</xdr:rowOff>
    </xdr:from>
    <xdr:to>
      <xdr:col>14</xdr:col>
      <xdr:colOff>392784</xdr:colOff>
      <xdr:row>31</xdr:row>
      <xdr:rowOff>196391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7C6EEC6-7540-C03D-F0D4-2A331ED3B2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3800" y="577850"/>
              <a:ext cx="8927184" cy="55192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3866145-11C5-4901-A91D-EA1FAAA6FB04}">
  <we:reference id="wa200000018" version="25.0.2.0" store="en-US" storeType="OMEX"/>
  <we:alternateReferences>
    <we:reference id="wa200000018" version="25.0.2.0" store="en-US" storeType="OMEX"/>
  </we:alternateReferences>
  <we:properties>
    <we:property name="Office.AutoShowTaskpaneWithDocument" value="true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PSINORMAL</we:customFunctionIds>
        <we:customFunctionIds>PSIBERNOULLI</we:customFunctionIds>
        <we:customFunctionIds>PSIBETA</we:customFunctionIds>
        <we:customFunctionIds>PSIBETAGEN</we:customFunctionIds>
        <we:customFunctionIds>PSIBETASUBJ</we:customFunctionIds>
        <we:customFunctionIds>PSIBINOMIAL</we:customFunctionIds>
        <we:customFunctionIds>PSICAUCHY</we:customFunctionIds>
        <we:customFunctionIds>PSICHISQUARE</we:customFunctionIds>
        <we:customFunctionIds>PSICUMUL</we:customFunctionIds>
        <we:customFunctionIds>PSICUMULD</we:customFunctionIds>
        <we:customFunctionIds>PSIDISCRETE</we:customFunctionIds>
        <we:customFunctionIds>PSIDISUNIFORM</we:customFunctionIds>
        <we:customFunctionIds>PSIERF</we:customFunctionIds>
        <we:customFunctionIds>PSIERLANG</we:customFunctionIds>
        <we:customFunctionIds>PSIEXPONENTIAL</we:customFunctionIds>
        <we:customFunctionIds>PSIGAMMA</we:customFunctionIds>
        <we:customFunctionIds>PSIGENERAL</we:customFunctionIds>
        <we:customFunctionIds>PSIGEOMETRIC</we:customFunctionIds>
        <we:customFunctionIds>PSIHISTOGRAM</we:customFunctionIds>
        <we:customFunctionIds>PSIHYPERGEO</we:customFunctionIds>
        <we:customFunctionIds>PSIINTUNIFORM</we:customFunctionIds>
        <we:customFunctionIds>PSIINVNORMAL</we:customFunctionIds>
        <we:customFunctionIds>PSILAPLACE</we:customFunctionIds>
        <we:customFunctionIds>PSILOGARITHMIC</we:customFunctionIds>
        <we:customFunctionIds>PSILOGISTIC</we:customFunctionIds>
        <we:customFunctionIds>PSILOGLOGISTIC</we:customFunctionIds>
        <we:customFunctionIds>PSILOGNORMAL</we:customFunctionIds>
        <we:customFunctionIds>PSILOGNORM2</we:customFunctionIds>
        <we:customFunctionIds>PSIMAXEXTREME</we:customFunctionIds>
        <we:customFunctionIds>PSIMINEXTREME</we:customFunctionIds>
        <we:customFunctionIds>PSIMYERSON</we:customFunctionIds>
        <we:customFunctionIds>PSINEGBINOMIAL</we:customFunctionIds>
        <we:customFunctionIds>PSINORMALSKEW</we:customFunctionIds>
        <we:customFunctionIds>PSIPARETO</we:customFunctionIds>
        <we:customFunctionIds>PSIPARETO2</we:customFunctionIds>
        <we:customFunctionIds>PSIPEARSON5</we:customFunctionIds>
        <we:customFunctionIds>PSIPEARSON6</we:customFunctionIds>
        <we:customFunctionIds>PSIPERT</we:customFunctionIds>
        <we:customFunctionIds>PSIPOISSON</we:customFunctionIds>
        <we:customFunctionIds>PSIRAYLEIGH</we:customFunctionIds>
        <we:customFunctionIds>PSISTUDENT</we:customFunctionIds>
        <we:customFunctionIds>PSITRIANGULAR</we:customFunctionIds>
        <we:customFunctionIds>PSITRIANGGEN</we:customFunctionIds>
        <we:customFunctionIds>PSIUNIFORM</we:customFunctionIds>
        <we:customFunctionIds>PSIWEIBULL</we:customFunctionIds>
        <we:customFunctionIds>PSIBURR12</we:customFunctionIds>
        <we:customFunctionIds>PSIDAGUM</we:customFunctionIds>
        <we:customFunctionIds>PSIDBLTRIANG</we:customFunctionIds>
        <we:customFunctionIds>PSIFDIST</we:customFunctionIds>
        <we:customFunctionIds>PSIFATIGUELIFE</we:customFunctionIds>
        <we:customFunctionIds>PSIFRECHET</we:customFunctionIds>
        <we:customFunctionIds>PSIHYPSECANT</we:customFunctionIds>
        <we:customFunctionIds>PSIJOHNSONSB</we:customFunctionIds>
        <we:customFunctionIds>PSIJOHNSONSU</we:customFunctionIds>
        <we:customFunctionIds>PSIKUMARASWAMY</we:customFunctionIds>
        <we:customFunctionIds>PSILEVY</we:customFunctionIds>
        <we:customFunctionIds>PSIRECIPROCAL</we:customFunctionIds>
        <we:customFunctionIds>PSIVARY</we:customFunctionIds>
        <we:customFunctionIds>PSIMVLOGNORMAL</we:customFunctionIds>
        <we:customFunctionIds>PSIMVNORMAL</we:customFunctionIds>
        <we:customFunctionIds>PSIMVRESAMPLE</we:customFunctionIds>
        <we:customFunctionIds>PSIMVSHUFFLE</we:customFunctionIds>
        <we:customFunctionIds>PSIMEAN</we:customFunctionIds>
        <we:customFunctionIds>PSITHEOMEAN</we:customFunctionIds>
        <we:customFunctionIds>PSILOCK</we:customFunctionIds>
        <we:customFunctionIds>PSINAME</we:customFunctionIds>
        <we:customFunctionIds>PSISHIFT</we:customFunctionIds>
        <we:customFunctionIds>PSISAMPLE</we:customFunctionIds>
        <we:customFunctionIds>PSITRUNCATE</we:customFunctionIds>
        <we:customFunctionIds>PSISEED</we:customFunctionIds>
        <we:customFunctionIds>PSISIXSIGMA</we:customFunctionIds>
        <we:customFunctionIds>PSITSSYNC</we:customFunctionIds>
        <we:customFunctionIds>PSICONVERGENCE</we:customFunctionIds>
        <we:customFunctionIds>PSIISDATE</we:customFunctionIds>
        <we:customFunctionIds>PSIISDISCRETE</we:customFunctionIds>
        <we:customFunctionIds>PSILIBRARY</we:customFunctionIds>
        <we:customFunctionIds>PSIFITINFO</we:customFunctionIds>
        <we:customFunctionIds>PSIOUTPUT</we:customFunctionIds>
        <we:customFunctionIds>PSIINPUT</we:customFunctionIds>
        <we:customFunctionIds>PSISIMPARAM</we:customFunctionIds>
        <we:customFunctionIds>PSISENPARAM</we:customFunctionIds>
        <we:customFunctionIds>PSIOPTPARAM</we:customFunctionIds>
        <we:customFunctionIds>PSICALCPARAM</we:customFunctionIds>
        <we:customFunctionIds>PSISLURP</we:customFunctionIds>
        <we:customFunctionIds>PSISIP</we:customFunctionIds>
        <we:customFunctionIds>PSITSSIP</we:customFunctionIds>
        <we:customFunctionIds>PSICORRMATRIX</we:customFunctionIds>
        <we:customFunctionIds>PSICORRDEPEN</we:customFunctionIds>
        <we:customFunctionIds>PSICORRINDEP</we:customFunctionIds>
        <we:customFunctionIds>PSIFIT</we:customFunctionIds>
        <we:customFunctionIds>PSIDATA</we:customFunctionIds>
        <we:customFunctionIds>PSIKURTOSIS</we:customFunctionIds>
        <we:customFunctionIds>PSITHEOKURTOSIS</we:customFunctionIds>
        <we:customFunctionIds>PSIMAX</we:customFunctionIds>
        <we:customFunctionIds>PSITHEOMAX</we:customFunctionIds>
        <we:customFunctionIds>PSIMIN</we:customFunctionIds>
        <we:customFunctionIds>PSITHEOMIN</we:customFunctionIds>
        <we:customFunctionIds>PSIMODE</we:customFunctionIds>
        <we:customFunctionIds>PSITHEOMODE</we:customFunctionIds>
        <we:customFunctionIds>PSIPERCENTILE</we:customFunctionIds>
        <we:customFunctionIds>PSITHEOPERCENTILE</we:customFunctionIds>
        <we:customFunctionIds>PSIPTOX</we:customFunctionIds>
        <we:customFunctionIds>PSITHEOPTOX</we:customFunctionIds>
        <we:customFunctionIds>PSIPERCENTILED</we:customFunctionIds>
        <we:customFunctionIds>PSITHEOPERCENTILED</we:customFunctionIds>
        <we:customFunctionIds>PSIQTOX</we:customFunctionIds>
        <we:customFunctionIds>PSITHEOQTOX</we:customFunctionIds>
        <we:customFunctionIds>PSIRANGE</we:customFunctionIds>
        <we:customFunctionIds>PSITHEORANGE</we:customFunctionIds>
        <we:customFunctionIds>PSISKEWNESS</we:customFunctionIds>
        <we:customFunctionIds>PSITHEOSKEWNESS</we:customFunctionIds>
        <we:customFunctionIds>PSISTDDEV</we:customFunctionIds>
        <we:customFunctionIds>PSITHEOSTDDEV</we:customFunctionIds>
        <we:customFunctionIds>PSITARGET</we:customFunctionIds>
        <we:customFunctionIds>PSITHEOTARGET</we:customFunctionIds>
        <we:customFunctionIds>PSIXTOP</we:customFunctionIds>
        <we:customFunctionIds>PSITHEOXTOP</we:customFunctionIds>
        <we:customFunctionIds>PSITARGETD</we:customFunctionIds>
        <we:customFunctionIds>PSITHEOTARGETD</we:customFunctionIds>
        <we:customFunctionIds>PSIXTOQ</we:customFunctionIds>
        <we:customFunctionIds>PSITHEOXTOQ</we:customFunctionIds>
        <we:customFunctionIds>PSITHEOXTOY</we:customFunctionIds>
        <we:customFunctionIds>PSIVARIANCE</we:customFunctionIds>
        <we:customFunctionIds>PSITHEOVARIANCE</we:customFunctionIds>
        <we:customFunctionIds>PSIABSDEV</we:customFunctionIds>
        <we:customFunctionIds>PSICITRIALS</we:customFunctionIds>
        <we:customFunctionIds>PSICORRELATION</we:customFunctionIds>
        <we:customFunctionIds>PSIFREQUENCY</we:customFunctionIds>
        <we:customFunctionIds>PSIMEANCI</we:customFunctionIds>
        <we:customFunctionIds>PSIMEANCIB</we:customFunctionIds>
        <we:customFunctionIds>PSISEMIDEV</we:customFunctionIds>
        <we:customFunctionIds>PSISEMIDEV2</we:customFunctionIds>
        <we:customFunctionIds>PSISEMIVAR</we:customFunctionIds>
        <we:customFunctionIds>PSISEMIVAR2</we:customFunctionIds>
        <we:customFunctionIds>PSISTDDEVCI</we:customFunctionIds>
        <we:customFunctionIds>PSIBVAR</we:customFunctionIds>
        <we:customFunctionIds>PSICVAR</we:customFunctionIds>
        <we:customFunctionIds>PSICURRENTTRIAL</we:customFunctionIds>
        <we:customFunctionIds>PSICURRENTSIM</we:customFunctionIds>
        <we:customFunctionIds>PSICOUNT</we:customFunctionIds>
        <we:customFunctionIds>PSISENVALUE</we:customFunctionIds>
        <we:customFunctionIds>PSICURRENTOPT</we:customFunctionIds>
        <we:customFunctionIds>PSIMEDIAN</we:customFunctionIds>
        <we:customFunctionIds>PSITHEOMEDIAN</we:customFunctionIds>
        <we:customFunctionIds>PSIDIM</we:customFunctionIds>
        <we:customFunctionIds>PSICUBE</we:customFunctionIds>
        <we:customFunctionIds>PSIREDUCE</we:customFunctionIds>
        <we:customFunctionIds>PSIJOIN</we:customFunctionIds>
        <we:customFunctionIds>PSIOPTSTATUS</we:customFunctionIds>
        <we:customFunctionIds>PSIPIVOTCUBE</we:customFunctionIds>
        <we:customFunctionIds>PSICALCVALUE</we:customFunctionIds>
        <we:customFunctionIds>PSIOPTDATA</we:customFunctionIds>
        <we:customFunctionIds>PSIPARAMDIM</we:customFunctionIds>
        <we:customFunctionIds>PSIPIVOTDIM</we:customFunctionIds>
        <we:customFunctionIds>PSICUBEOUTPUT</we:customFunctionIds>
        <we:customFunctionIds>PSIDIMLOCK</we:customFunctionIds>
        <we:customFunctionIds>PSIDIMACTIVE</we:customFunctionIds>
        <we:customFunctionIds>PSICUBEDATA</we:customFunctionIds>
        <we:customFunctionIds>PSISIMOUTPUT</we:customFunctionIds>
        <we:customFunctionIds>PSISIMDATA</we:customFunctionIds>
        <we:customFunctionIds>PSIRESAMPLE</we:customFunctionIds>
        <we:customFunctionIds>PSITABLECUBE</we:customFunctionIds>
        <we:customFunctionIds>PSICOMPOUND</we:customFunctionIds>
        <we:customFunctionIds>PSICOPULA</we:customFunctionIds>
        <we:customFunctionIds>PSICOPULASTUDENT</we:customFunctionIds>
        <we:customFunctionIds>PSICOPULAGAUSS</we:customFunctionIds>
        <we:customFunctionIds>PSIKENDALLTAU</we:customFunctionIds>
        <we:customFunctionIds>PSISPEARMANRHO</we:customFunctionIds>
        <we:customFunctionIds>PSIMETALOG</we:customFunctionIds>
        <we:customFunctionIds>PSIMETALOGSPT</we:customFunctionIds>
        <we:customFunctionIds>PSIMETALOGFIT</we:customFunctionIds>
        <we:customFunctionIds>PSIDATASRC</we:customFunctionIds>
        <we:customFunctionIds>PSIMODELSRC</we:customFunctionIds>
        <we:customFunctionIds>PSISIGMACP</we:customFunctionIds>
        <we:customFunctionIds>PSISIGMACPK</we:customFunctionIds>
        <we:customFunctionIds>PSISIGMACPKLOWER</we:customFunctionIds>
        <we:customFunctionIds>PSISIGMACPKUPPER</we:customFunctionIds>
        <we:customFunctionIds>PSISIGMACPM</we:customFunctionIds>
        <we:customFunctionIds>PSISIGMADEFECTPPM</we:customFunctionIds>
        <we:customFunctionIds>PSISIGMADEFECTSHIFTPPM</we:customFunctionIds>
        <we:customFunctionIds>PSISIGMADEFECTSHIFTPPMLower</we:customFunctionIds>
        <we:customFunctionIds>PSISIGMADEFECTSHIFTPPMUPPER</we:customFunctionIds>
        <we:customFunctionIds>PSISIGMAK</we:customFunctionIds>
        <we:customFunctionIds>PSISIGMALOWERBOUND</we:customFunctionIds>
        <we:customFunctionIds>PSISIGMAPROBDEFECTSHIFT</we:customFunctionIds>
        <we:customFunctionIds>PSISIGMAPROBDEFECTSHIFTLOWER</we:customFunctionIds>
        <we:customFunctionIds>PSISIGMAPROBDEFECTSHIFTUPPER</we:customFunctionIds>
        <we:customFunctionIds>PSISIGMASIGMALEVEL</we:customFunctionIds>
        <we:customFunctionIds>PSISIGMAUPPERBOUND</we:customFunctionIds>
        <we:customFunctionIds>PSISIGMAYIELD</we:customFunctionIds>
        <we:customFunctionIds>PSISIGMAZLOWER</we:customFunctionIds>
        <we:customFunctionIds>PSISIGMAZMIN</we:customFunctionIds>
        <we:customFunctionIds>PSISIGMAZUPPER</we:customFunctionIds>
        <we:customFunctionIds>PSIBETAGENALT</we:customFunctionIds>
        <we:customFunctionIds>PSICAUCHYALT</we:customFunctionIds>
        <we:customFunctionIds>PSICHISQUAREALT</we:customFunctionIds>
        <we:customFunctionIds>PSIERFALT</we:customFunctionIds>
        <we:customFunctionIds>PSIEXPONENTIALALT</we:customFunctionIds>
        <we:customFunctionIds>PSIGAMMAALT</we:customFunctionIds>
        <we:customFunctionIds>PSIINVNORMALALT</we:customFunctionIds>
        <we:customFunctionIds>PSILAPLACEALT</we:customFunctionIds>
        <we:customFunctionIds>PSILOGISTICALT</we:customFunctionIds>
        <we:customFunctionIds>PSILOGLOGISTICALT</we:customFunctionIds>
        <we:customFunctionIds>PSILOGNORMALALT</we:customFunctionIds>
        <we:customFunctionIds>PSIMAXEXTREMEALT</we:customFunctionIds>
        <we:customFunctionIds>PSIMINEXTREMEALT</we:customFunctionIds>
        <we:customFunctionIds>PSINORMALALT</we:customFunctionIds>
        <we:customFunctionIds>PSIUNIFORMALT</we:customFunctionIds>
        <we:customFunctionIds>PSITRIANGULARALT</we:customFunctionIds>
        <we:customFunctionIds>PSIPARETOALT</we:customFunctionIds>
        <we:customFunctionIds>PSIPARETO2ALT</we:customFunctionIds>
        <we:customFunctionIds>PSIPEARSON5ALT</we:customFunctionIds>
        <we:customFunctionIds>PSIPEARSON6ALT</we:customFunctionIds>
        <we:customFunctionIds>PSIPERTALT</we:customFunctionIds>
        <we:customFunctionIds>PSIRAYLEIGHALT</we:customFunctionIds>
        <we:customFunctionIds>PSISTUDENTALT</we:customFunctionIds>
        <we:customFunctionIds>PSIWEIBULLALT</we:customFunctionIds>
        <we:customFunctionIds>PSIFATIGUELIFEALT</we:customFunctionIds>
        <we:customFunctionIds>PSIFRECHETALT</we:customFunctionIds>
        <we:customFunctionIds>PSIOPTVALUE</we:customFunctionIds>
        <we:customFunctionIds>PSICOEFFVAR</we:customFunctionIds>
        <we:customFunctionIds>PSISTDERR</we:customFunctionIds>
        <we:customFunctionIds>PSIEXPGAIN</we:customFunctionIds>
        <we:customFunctionIds>PSIEXPGAINRATIO</we:customFunctionIds>
        <we:customFunctionIds>PSIEXPLOSS</we:customFunctionIds>
        <we:customFunctionIds>PSIEXPLOSSRATIO</we:customFunctionIds>
        <we:customFunctionIds>PSIEXPVALMARGIN</we:customFunctionIds>
        <we:customFunctionIds>PSICERTIFIED</we:customFunctionIds>
        <we:customFunctionIds>PSICENSOR</we:customFunctionIds>
        <we:customFunctionIds>PSIBASECASE</we:customFunctionIds>
        <we:customFunctionIds>PSIFORECASTETS</we:customFunctionIds>
        <we:customFunctionIds>PSIFORECASTLINEAR</we:customFunctionIds>
        <we:customFunctionIds>DOTPRODUCT</we:customFunctionIds>
        <we:customFunctionIds>QUADPRODUCT</we:customFunctionIds>
        <we:customFunctionIds>PSIDECTABLE</we:customFunctionIds>
        <we:customFunctionIds>PSIBOXFUNCTION</we:customFunctionIds>
        <we:customFunctionIds>PSIBOXITERATOR</we:customFunctionIds>
        <we:customFunctionIds>PSIINITIALVALUE</we:customFunctionIds>
        <we:customFunctionIds>PSIFINALVALUE</we:customFunctionIds>
        <we:customFunctionIds>PSIDUALVALUE</we:customFunctionIds>
        <we:customFunctionIds>PSISLACKVALUE</we:customFunctionIds>
        <we:customFunctionIds>PSIDUALUPPER</we:customFunctionIds>
        <we:customFunctionIds>PSIDUALLOWER</we:customFunctionIds>
        <we:customFunctionIds>PSITSINTEGRATE</we:customFunctionIds>
        <we:customFunctionIds>PSITRANSFORM</we:customFunctionIds>
        <we:customFunctionIds>PSITSSEASONALITY</we:customFunctionIds>
        <we:customFunctionIds>PSITSLEN</we:customFunctionIds>
        <we:customFunctionIds>PSIAR1</we:customFunctionIds>
        <we:customFunctionIds>PSIAR2</we:customFunctionIds>
        <we:customFunctionIds>PSIMA1</we:customFunctionIds>
        <we:customFunctionIds>PSIMA2</we:customFunctionIds>
        <we:customFunctionIds>PSIARMA11</we:customFunctionIds>
        <we:customFunctionIds>PSIARCH1</we:customFunctionIds>
        <we:customFunctionIds>PSIGARCH11</we:customFunctionIds>
        <we:customFunctionIds>PSIEGARCH11</we:customFunctionIds>
        <we:customFunctionIds>PSIAPARCH11</we:customFunctionIds>
        <we:customFunctionIds>PSITARGETCI</we:customFunctionIds>
        <we:customFunctionIds>PSIPERCENTILECI</we:customFunctionIds>
        <we:customFunctionIds>PSIPERCENTILES</we:customFunctionIds>
        <we:customFunctionIds>PSIMODELDESC</we:customFunctionIds>
        <we:customFunctionIds>PSICORRECTCORMAT</we:customFunctionIds>
        <we:customFunctionIds>PSISTATIC</we:customFunctionIds>
        <we:customFunctionIds>PSIMAKEINPUT</we:customFunctionIds>
        <we:customFunctionIds>PSISIMULATIONINFO</we:customFunctionIds>
        <we:customFunctionIds>PSICONVERGED</we:customFunctionIds>
        <we:customFunctionIds>PSIDISTINFO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16D11-4BE0-A449-98A7-2038672552CB}">
  <dimension ref="A1:F253"/>
  <sheetViews>
    <sheetView workbookViewId="0">
      <selection sqref="A1:A1048576"/>
    </sheetView>
  </sheetViews>
  <sheetFormatPr defaultColWidth="10.8203125" defaultRowHeight="15" x14ac:dyDescent="0.4"/>
  <sheetData>
    <row r="1" spans="1:6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4">
      <c r="A2" s="1">
        <v>45386</v>
      </c>
      <c r="B2">
        <v>90.41</v>
      </c>
      <c r="C2">
        <v>90.63</v>
      </c>
      <c r="D2">
        <v>85.88</v>
      </c>
      <c r="E2">
        <v>85.91</v>
      </c>
      <c r="F2" s="2">
        <v>434964876</v>
      </c>
    </row>
    <row r="3" spans="1:6" x14ac:dyDescent="0.4">
      <c r="A3" s="1">
        <v>45387</v>
      </c>
      <c r="B3">
        <v>86.87</v>
      </c>
      <c r="C3">
        <v>88.48</v>
      </c>
      <c r="D3">
        <v>85.93</v>
      </c>
      <c r="E3">
        <v>88.01</v>
      </c>
      <c r="F3" s="2">
        <v>399678476</v>
      </c>
    </row>
    <row r="4" spans="1:6" x14ac:dyDescent="0.4">
      <c r="A4" s="1">
        <v>45390</v>
      </c>
      <c r="B4">
        <v>88.7</v>
      </c>
      <c r="C4">
        <v>88.83</v>
      </c>
      <c r="D4">
        <v>86.73</v>
      </c>
      <c r="E4">
        <v>87.13</v>
      </c>
      <c r="F4" s="2">
        <v>283219997</v>
      </c>
    </row>
    <row r="5" spans="1:6" x14ac:dyDescent="0.4">
      <c r="A5" s="1">
        <v>45391</v>
      </c>
      <c r="B5">
        <v>87.44</v>
      </c>
      <c r="C5">
        <v>87.64</v>
      </c>
      <c r="D5">
        <v>83.02</v>
      </c>
      <c r="E5">
        <v>85.35</v>
      </c>
      <c r="F5" s="2">
        <v>503547375</v>
      </c>
    </row>
    <row r="6" spans="1:6" x14ac:dyDescent="0.4">
      <c r="A6" s="1">
        <v>45392</v>
      </c>
      <c r="B6">
        <v>83.93</v>
      </c>
      <c r="C6">
        <v>87.4</v>
      </c>
      <c r="D6">
        <v>83.71</v>
      </c>
      <c r="E6">
        <v>87.04</v>
      </c>
      <c r="F6" s="2">
        <v>431928476</v>
      </c>
    </row>
    <row r="7" spans="1:6" x14ac:dyDescent="0.4">
      <c r="A7" s="1">
        <v>45393</v>
      </c>
      <c r="B7">
        <v>87.42</v>
      </c>
      <c r="C7">
        <v>90.74</v>
      </c>
      <c r="D7">
        <v>86.93</v>
      </c>
      <c r="E7">
        <v>90.62</v>
      </c>
      <c r="F7" s="2">
        <v>431637266</v>
      </c>
    </row>
    <row r="8" spans="1:6" x14ac:dyDescent="0.4">
      <c r="A8" s="1">
        <v>45394</v>
      </c>
      <c r="B8">
        <v>89.7</v>
      </c>
      <c r="C8">
        <v>90.17</v>
      </c>
      <c r="D8">
        <v>87.53</v>
      </c>
      <c r="E8">
        <v>88.19</v>
      </c>
      <c r="F8" s="2">
        <v>426804796</v>
      </c>
    </row>
    <row r="9" spans="1:6" x14ac:dyDescent="0.4">
      <c r="A9" s="1">
        <v>45397</v>
      </c>
      <c r="B9">
        <v>89.1</v>
      </c>
      <c r="C9">
        <v>90.61</v>
      </c>
      <c r="D9">
        <v>85.93</v>
      </c>
      <c r="E9">
        <v>86</v>
      </c>
      <c r="F9" s="2">
        <v>443076986</v>
      </c>
    </row>
    <row r="10" spans="1:6" x14ac:dyDescent="0.4">
      <c r="A10" s="1">
        <v>45398</v>
      </c>
      <c r="B10">
        <v>86.43</v>
      </c>
      <c r="C10">
        <v>88.12</v>
      </c>
      <c r="D10">
        <v>86.06</v>
      </c>
      <c r="E10">
        <v>87.42</v>
      </c>
      <c r="F10" s="2">
        <v>370453006</v>
      </c>
    </row>
    <row r="11" spans="1:6" x14ac:dyDescent="0.4">
      <c r="A11" s="1">
        <v>45399</v>
      </c>
      <c r="B11">
        <v>88.34</v>
      </c>
      <c r="C11">
        <v>88.78</v>
      </c>
      <c r="D11">
        <v>83.95</v>
      </c>
      <c r="E11">
        <v>84.04</v>
      </c>
      <c r="F11" s="2">
        <v>495399525</v>
      </c>
    </row>
    <row r="12" spans="1:6" x14ac:dyDescent="0.4">
      <c r="A12" s="1">
        <v>45400</v>
      </c>
      <c r="B12">
        <v>84.97</v>
      </c>
      <c r="C12">
        <v>86.19</v>
      </c>
      <c r="D12">
        <v>82.4</v>
      </c>
      <c r="E12">
        <v>84.67</v>
      </c>
      <c r="F12" s="2">
        <v>447260306</v>
      </c>
    </row>
    <row r="13" spans="1:6" x14ac:dyDescent="0.4">
      <c r="A13" s="1">
        <v>45401</v>
      </c>
      <c r="B13">
        <v>83.15</v>
      </c>
      <c r="C13">
        <v>84.32</v>
      </c>
      <c r="D13">
        <v>75.61</v>
      </c>
      <c r="E13">
        <v>76.2</v>
      </c>
      <c r="F13" s="2">
        <v>875197961</v>
      </c>
    </row>
    <row r="14" spans="1:6" x14ac:dyDescent="0.4">
      <c r="A14" s="1">
        <v>45404</v>
      </c>
      <c r="B14">
        <v>78.099999999999994</v>
      </c>
      <c r="C14">
        <v>80.069999999999993</v>
      </c>
      <c r="D14">
        <v>76.400000000000006</v>
      </c>
      <c r="E14">
        <v>79.52</v>
      </c>
      <c r="F14" s="2">
        <v>596340464</v>
      </c>
    </row>
    <row r="15" spans="1:6" x14ac:dyDescent="0.4">
      <c r="A15" s="1">
        <v>45405</v>
      </c>
      <c r="B15">
        <v>80.77</v>
      </c>
      <c r="C15">
        <v>82.77</v>
      </c>
      <c r="D15">
        <v>80.260000000000005</v>
      </c>
      <c r="E15">
        <v>82.42</v>
      </c>
      <c r="F15" s="2">
        <v>438559406</v>
      </c>
    </row>
    <row r="16" spans="1:6" x14ac:dyDescent="0.4">
      <c r="A16" s="1">
        <v>45406</v>
      </c>
      <c r="B16">
        <v>83.95</v>
      </c>
      <c r="C16">
        <v>84.08</v>
      </c>
      <c r="D16">
        <v>79.180000000000007</v>
      </c>
      <c r="E16">
        <v>79.680000000000007</v>
      </c>
      <c r="F16" s="2">
        <v>512207535</v>
      </c>
    </row>
    <row r="17" spans="1:6" x14ac:dyDescent="0.4">
      <c r="A17" s="1">
        <v>45407</v>
      </c>
      <c r="B17">
        <v>78.87</v>
      </c>
      <c r="C17">
        <v>83.32</v>
      </c>
      <c r="D17">
        <v>78.22</v>
      </c>
      <c r="E17">
        <v>82.63</v>
      </c>
      <c r="F17" s="2">
        <v>424640696</v>
      </c>
    </row>
    <row r="18" spans="1:6" x14ac:dyDescent="0.4">
      <c r="A18" s="1">
        <v>45408</v>
      </c>
      <c r="B18">
        <v>83.82</v>
      </c>
      <c r="C18">
        <v>88.33</v>
      </c>
      <c r="D18">
        <v>83.39</v>
      </c>
      <c r="E18">
        <v>87.74</v>
      </c>
      <c r="F18" s="2">
        <v>551010854</v>
      </c>
    </row>
    <row r="19" spans="1:6" x14ac:dyDescent="0.4">
      <c r="A19" s="1">
        <v>45411</v>
      </c>
      <c r="B19">
        <v>87.6</v>
      </c>
      <c r="C19">
        <v>87.99</v>
      </c>
      <c r="D19">
        <v>85.27</v>
      </c>
      <c r="E19">
        <v>87.76</v>
      </c>
      <c r="F19" s="2">
        <v>388970776</v>
      </c>
    </row>
    <row r="20" spans="1:6" x14ac:dyDescent="0.4">
      <c r="A20" s="1">
        <v>45412</v>
      </c>
      <c r="B20">
        <v>87.24</v>
      </c>
      <c r="C20">
        <v>88.82</v>
      </c>
      <c r="D20">
        <v>86.3</v>
      </c>
      <c r="E20">
        <v>86.4</v>
      </c>
      <c r="F20" s="2">
        <v>363708706</v>
      </c>
    </row>
    <row r="21" spans="1:6" x14ac:dyDescent="0.4">
      <c r="A21" s="1">
        <v>45413</v>
      </c>
      <c r="B21">
        <v>85.08</v>
      </c>
      <c r="C21">
        <v>86</v>
      </c>
      <c r="D21">
        <v>81.25</v>
      </c>
      <c r="E21">
        <v>83.04</v>
      </c>
      <c r="F21" s="2">
        <v>559863154</v>
      </c>
    </row>
    <row r="22" spans="1:6" x14ac:dyDescent="0.4">
      <c r="A22" s="1">
        <v>45414</v>
      </c>
      <c r="B22">
        <v>84.45</v>
      </c>
      <c r="C22">
        <v>86.24</v>
      </c>
      <c r="D22">
        <v>83.2</v>
      </c>
      <c r="E22">
        <v>85.82</v>
      </c>
      <c r="F22" s="2">
        <v>377897536</v>
      </c>
    </row>
    <row r="23" spans="1:6" x14ac:dyDescent="0.4">
      <c r="A23" s="1">
        <v>45415</v>
      </c>
      <c r="B23">
        <v>87.79</v>
      </c>
      <c r="C23">
        <v>89.28</v>
      </c>
      <c r="D23">
        <v>87.04</v>
      </c>
      <c r="E23">
        <v>88.79</v>
      </c>
      <c r="F23" s="2">
        <v>398340696</v>
      </c>
    </row>
    <row r="24" spans="1:6" x14ac:dyDescent="0.4">
      <c r="A24" s="1">
        <v>45418</v>
      </c>
      <c r="B24">
        <v>89.39</v>
      </c>
      <c r="C24">
        <v>92.22</v>
      </c>
      <c r="D24">
        <v>89.06</v>
      </c>
      <c r="E24">
        <v>92.14</v>
      </c>
      <c r="F24" s="2">
        <v>376202616</v>
      </c>
    </row>
    <row r="25" spans="1:6" x14ac:dyDescent="0.4">
      <c r="A25" s="1">
        <v>45419</v>
      </c>
      <c r="B25">
        <v>91.1</v>
      </c>
      <c r="C25">
        <v>91.78</v>
      </c>
      <c r="D25">
        <v>89.01</v>
      </c>
      <c r="E25">
        <v>90.55</v>
      </c>
      <c r="F25" s="2">
        <v>437341596</v>
      </c>
    </row>
    <row r="26" spans="1:6" x14ac:dyDescent="0.4">
      <c r="A26" s="1">
        <v>45420</v>
      </c>
      <c r="B26">
        <v>89.48</v>
      </c>
      <c r="C26">
        <v>91.19</v>
      </c>
      <c r="D26">
        <v>89.42</v>
      </c>
      <c r="E26">
        <v>90.41</v>
      </c>
      <c r="F26" s="2">
        <v>325720997</v>
      </c>
    </row>
    <row r="27" spans="1:6" x14ac:dyDescent="0.4">
      <c r="A27" s="1">
        <v>45421</v>
      </c>
      <c r="B27">
        <v>90.53</v>
      </c>
      <c r="C27">
        <v>91.07</v>
      </c>
      <c r="D27">
        <v>88.23</v>
      </c>
      <c r="E27">
        <v>88.75</v>
      </c>
      <c r="F27" s="2">
        <v>378012726</v>
      </c>
    </row>
    <row r="28" spans="1:6" x14ac:dyDescent="0.4">
      <c r="A28" s="1">
        <v>45422</v>
      </c>
      <c r="B28">
        <v>90.3</v>
      </c>
      <c r="C28">
        <v>91.4</v>
      </c>
      <c r="D28">
        <v>89.23</v>
      </c>
      <c r="E28">
        <v>89.88</v>
      </c>
      <c r="F28" s="2">
        <v>335325427</v>
      </c>
    </row>
    <row r="29" spans="1:6" x14ac:dyDescent="0.4">
      <c r="A29" s="1">
        <v>45425</v>
      </c>
      <c r="B29">
        <v>90.48</v>
      </c>
      <c r="C29">
        <v>91</v>
      </c>
      <c r="D29">
        <v>88.53</v>
      </c>
      <c r="E29">
        <v>90.4</v>
      </c>
      <c r="F29" s="2">
        <v>289680197</v>
      </c>
    </row>
    <row r="30" spans="1:6" x14ac:dyDescent="0.4">
      <c r="A30" s="1">
        <v>45426</v>
      </c>
      <c r="B30">
        <v>89.6</v>
      </c>
      <c r="C30">
        <v>91.65</v>
      </c>
      <c r="D30">
        <v>88.93</v>
      </c>
      <c r="E30">
        <v>91.36</v>
      </c>
      <c r="F30" s="2">
        <v>296507107</v>
      </c>
    </row>
    <row r="31" spans="1:6" x14ac:dyDescent="0.4">
      <c r="A31" s="1">
        <v>45427</v>
      </c>
      <c r="B31">
        <v>92.47</v>
      </c>
      <c r="C31">
        <v>94.86</v>
      </c>
      <c r="D31">
        <v>91.6</v>
      </c>
      <c r="E31">
        <v>94.63</v>
      </c>
      <c r="F31" s="2">
        <v>417735506</v>
      </c>
    </row>
    <row r="32" spans="1:6" x14ac:dyDescent="0.4">
      <c r="A32" s="1">
        <v>45428</v>
      </c>
      <c r="B32">
        <v>94.91</v>
      </c>
      <c r="C32">
        <v>95.82</v>
      </c>
      <c r="D32">
        <v>94.1</v>
      </c>
      <c r="E32">
        <v>94.36</v>
      </c>
      <c r="F32" s="2">
        <v>323951817</v>
      </c>
    </row>
    <row r="33" spans="1:6" x14ac:dyDescent="0.4">
      <c r="A33" s="1">
        <v>45429</v>
      </c>
      <c r="B33">
        <v>94.37</v>
      </c>
      <c r="C33">
        <v>94.74</v>
      </c>
      <c r="D33">
        <v>91.81</v>
      </c>
      <c r="E33">
        <v>92.48</v>
      </c>
      <c r="F33" s="2">
        <v>359691016</v>
      </c>
    </row>
    <row r="34" spans="1:6" x14ac:dyDescent="0.4">
      <c r="A34" s="1">
        <v>45432</v>
      </c>
      <c r="B34">
        <v>93.75</v>
      </c>
      <c r="C34">
        <v>95.2</v>
      </c>
      <c r="D34">
        <v>93.44</v>
      </c>
      <c r="E34">
        <v>94.78</v>
      </c>
      <c r="F34" s="2">
        <v>318764467</v>
      </c>
    </row>
    <row r="35" spans="1:6" x14ac:dyDescent="0.4">
      <c r="A35" s="1">
        <v>45433</v>
      </c>
      <c r="B35">
        <v>93.6</v>
      </c>
      <c r="C35">
        <v>95.4</v>
      </c>
      <c r="D35">
        <v>93.18</v>
      </c>
      <c r="E35">
        <v>95.39</v>
      </c>
      <c r="F35" s="2">
        <v>328946477</v>
      </c>
    </row>
    <row r="36" spans="1:6" x14ac:dyDescent="0.4">
      <c r="A36" s="1">
        <v>45434</v>
      </c>
      <c r="B36">
        <v>95.46</v>
      </c>
      <c r="C36">
        <v>96.02</v>
      </c>
      <c r="D36">
        <v>93.25</v>
      </c>
      <c r="E36">
        <v>94.95</v>
      </c>
      <c r="F36" s="2">
        <v>548648005</v>
      </c>
    </row>
    <row r="37" spans="1:6" x14ac:dyDescent="0.4">
      <c r="A37" s="1">
        <v>45435</v>
      </c>
      <c r="B37">
        <v>102.03</v>
      </c>
      <c r="C37">
        <v>106.32</v>
      </c>
      <c r="D37">
        <v>101.52</v>
      </c>
      <c r="E37">
        <v>103.8</v>
      </c>
      <c r="F37" s="2">
        <v>835065302</v>
      </c>
    </row>
    <row r="38" spans="1:6" x14ac:dyDescent="0.4">
      <c r="A38" s="1">
        <v>45436</v>
      </c>
      <c r="B38">
        <v>104.45</v>
      </c>
      <c r="C38">
        <v>106.48</v>
      </c>
      <c r="D38">
        <v>103</v>
      </c>
      <c r="E38">
        <v>106.47</v>
      </c>
      <c r="F38" s="2">
        <v>429493666</v>
      </c>
    </row>
    <row r="39" spans="1:6" x14ac:dyDescent="0.4">
      <c r="A39" s="1">
        <v>45440</v>
      </c>
      <c r="B39">
        <v>110.24</v>
      </c>
      <c r="C39">
        <v>114.94</v>
      </c>
      <c r="D39">
        <v>109.88</v>
      </c>
      <c r="E39">
        <v>113.9</v>
      </c>
      <c r="F39" s="2">
        <v>652727963</v>
      </c>
    </row>
    <row r="40" spans="1:6" x14ac:dyDescent="0.4">
      <c r="A40" s="1">
        <v>45441</v>
      </c>
      <c r="B40">
        <v>113.05</v>
      </c>
      <c r="C40">
        <v>115.49</v>
      </c>
      <c r="D40">
        <v>110.9</v>
      </c>
      <c r="E40">
        <v>114.83</v>
      </c>
      <c r="F40" s="2">
        <v>557441904</v>
      </c>
    </row>
    <row r="41" spans="1:6" x14ac:dyDescent="0.4">
      <c r="A41" s="1">
        <v>45442</v>
      </c>
      <c r="B41">
        <v>114.65</v>
      </c>
      <c r="C41">
        <v>115.82</v>
      </c>
      <c r="D41">
        <v>109.66</v>
      </c>
      <c r="E41">
        <v>110.5</v>
      </c>
      <c r="F41" s="2">
        <v>487350305</v>
      </c>
    </row>
    <row r="42" spans="1:6" x14ac:dyDescent="0.4">
      <c r="A42" s="1">
        <v>45443</v>
      </c>
      <c r="B42">
        <v>112.52</v>
      </c>
      <c r="C42">
        <v>112.72</v>
      </c>
      <c r="D42">
        <v>106.94</v>
      </c>
      <c r="E42">
        <v>109.63</v>
      </c>
      <c r="F42" s="2">
        <v>613262454</v>
      </c>
    </row>
    <row r="43" spans="1:6" x14ac:dyDescent="0.4">
      <c r="A43" s="1">
        <v>45446</v>
      </c>
      <c r="B43">
        <v>113.62</v>
      </c>
      <c r="C43">
        <v>115</v>
      </c>
      <c r="D43">
        <v>112</v>
      </c>
      <c r="E43">
        <v>115</v>
      </c>
      <c r="F43" s="2">
        <v>438391796</v>
      </c>
    </row>
    <row r="44" spans="1:6" x14ac:dyDescent="0.4">
      <c r="A44" s="1">
        <v>45447</v>
      </c>
      <c r="B44">
        <v>115.72</v>
      </c>
      <c r="C44">
        <v>116.6</v>
      </c>
      <c r="D44">
        <v>114.05</v>
      </c>
      <c r="E44">
        <v>116.44</v>
      </c>
      <c r="F44" s="2">
        <v>403323976</v>
      </c>
    </row>
    <row r="45" spans="1:6" x14ac:dyDescent="0.4">
      <c r="A45" s="1">
        <v>45448</v>
      </c>
      <c r="B45">
        <v>118.37</v>
      </c>
      <c r="C45">
        <v>122.45</v>
      </c>
      <c r="D45">
        <v>117.47</v>
      </c>
      <c r="E45">
        <v>122.44</v>
      </c>
      <c r="F45" s="2">
        <v>528401795</v>
      </c>
    </row>
    <row r="46" spans="1:6" x14ac:dyDescent="0.4">
      <c r="A46" s="1">
        <v>45449</v>
      </c>
      <c r="B46">
        <v>124.05</v>
      </c>
      <c r="C46">
        <v>125.59</v>
      </c>
      <c r="D46">
        <v>118.32</v>
      </c>
      <c r="E46">
        <v>121</v>
      </c>
      <c r="F46" s="2">
        <v>664696163</v>
      </c>
    </row>
    <row r="47" spans="1:6" x14ac:dyDescent="0.4">
      <c r="A47" s="1">
        <v>45450</v>
      </c>
      <c r="B47">
        <v>119.77</v>
      </c>
      <c r="C47">
        <v>121.69</v>
      </c>
      <c r="D47">
        <v>118.02</v>
      </c>
      <c r="E47">
        <v>120.89</v>
      </c>
      <c r="F47" s="2">
        <v>412385776</v>
      </c>
    </row>
    <row r="48" spans="1:6" x14ac:dyDescent="0.4">
      <c r="A48" s="1">
        <v>45453</v>
      </c>
      <c r="B48">
        <v>120.37</v>
      </c>
      <c r="C48">
        <v>123.1</v>
      </c>
      <c r="D48">
        <v>117.01</v>
      </c>
      <c r="E48">
        <v>121.79</v>
      </c>
      <c r="F48" s="2">
        <v>314162688</v>
      </c>
    </row>
    <row r="49" spans="1:6" x14ac:dyDescent="0.4">
      <c r="A49" s="1">
        <v>45454</v>
      </c>
      <c r="B49">
        <v>121.77</v>
      </c>
      <c r="C49">
        <v>122.87</v>
      </c>
      <c r="D49">
        <v>118.74</v>
      </c>
      <c r="E49">
        <v>120.91</v>
      </c>
      <c r="F49" s="2">
        <v>222551203</v>
      </c>
    </row>
    <row r="50" spans="1:6" x14ac:dyDescent="0.4">
      <c r="A50" s="1">
        <v>45455</v>
      </c>
      <c r="B50">
        <v>123.06</v>
      </c>
      <c r="C50">
        <v>126.88</v>
      </c>
      <c r="D50">
        <v>122.57</v>
      </c>
      <c r="E50">
        <v>125.2</v>
      </c>
      <c r="F50" s="2">
        <v>299595000</v>
      </c>
    </row>
    <row r="51" spans="1:6" x14ac:dyDescent="0.4">
      <c r="A51" s="1">
        <v>45456</v>
      </c>
      <c r="B51">
        <v>129.38999999999999</v>
      </c>
      <c r="C51">
        <v>129.80000000000001</v>
      </c>
      <c r="D51">
        <v>127.16</v>
      </c>
      <c r="E51">
        <v>129.61000000000001</v>
      </c>
      <c r="F51" s="2">
        <v>260704500</v>
      </c>
    </row>
    <row r="52" spans="1:6" x14ac:dyDescent="0.4">
      <c r="A52" s="1">
        <v>45457</v>
      </c>
      <c r="B52">
        <v>129.96</v>
      </c>
      <c r="C52">
        <v>132.84</v>
      </c>
      <c r="D52">
        <v>128.32</v>
      </c>
      <c r="E52">
        <v>131.88</v>
      </c>
      <c r="F52" s="2">
        <v>309320375</v>
      </c>
    </row>
    <row r="53" spans="1:6" x14ac:dyDescent="0.4">
      <c r="A53" s="1">
        <v>45460</v>
      </c>
      <c r="B53">
        <v>132.99</v>
      </c>
      <c r="C53">
        <v>133.72999999999999</v>
      </c>
      <c r="D53">
        <v>129.58000000000001</v>
      </c>
      <c r="E53">
        <v>130.97999999999999</v>
      </c>
      <c r="F53" s="2">
        <v>288504375</v>
      </c>
    </row>
    <row r="54" spans="1:6" x14ac:dyDescent="0.4">
      <c r="A54" s="1">
        <v>45461</v>
      </c>
      <c r="B54">
        <v>131.13999999999999</v>
      </c>
      <c r="C54">
        <v>136.33000000000001</v>
      </c>
      <c r="D54">
        <v>130.69</v>
      </c>
      <c r="E54">
        <v>135.58000000000001</v>
      </c>
      <c r="F54" s="2">
        <v>294335094</v>
      </c>
    </row>
    <row r="55" spans="1:6" x14ac:dyDescent="0.4">
      <c r="A55" s="1">
        <v>45463</v>
      </c>
      <c r="B55">
        <v>139.80000000000001</v>
      </c>
      <c r="C55">
        <v>140.76</v>
      </c>
      <c r="D55">
        <v>129.52000000000001</v>
      </c>
      <c r="E55">
        <v>130.78</v>
      </c>
      <c r="F55" s="2">
        <v>517768375</v>
      </c>
    </row>
    <row r="56" spans="1:6" x14ac:dyDescent="0.4">
      <c r="A56" s="1">
        <v>45464</v>
      </c>
      <c r="B56">
        <v>127.12</v>
      </c>
      <c r="C56">
        <v>130.63</v>
      </c>
      <c r="D56">
        <v>124.3</v>
      </c>
      <c r="E56">
        <v>126.57</v>
      </c>
      <c r="F56" s="2">
        <v>655484688</v>
      </c>
    </row>
    <row r="57" spans="1:6" x14ac:dyDescent="0.4">
      <c r="A57" s="1">
        <v>45467</v>
      </c>
      <c r="B57">
        <v>123.24</v>
      </c>
      <c r="C57">
        <v>124.46</v>
      </c>
      <c r="D57">
        <v>118.04</v>
      </c>
      <c r="E57">
        <v>118.11</v>
      </c>
      <c r="F57" s="2">
        <v>476060906</v>
      </c>
    </row>
    <row r="58" spans="1:6" x14ac:dyDescent="0.4">
      <c r="A58" s="1">
        <v>45468</v>
      </c>
      <c r="B58">
        <v>121.2</v>
      </c>
      <c r="C58">
        <v>126.5</v>
      </c>
      <c r="D58">
        <v>119.32</v>
      </c>
      <c r="E58">
        <v>126.09</v>
      </c>
      <c r="F58" s="2">
        <v>425787500</v>
      </c>
    </row>
    <row r="59" spans="1:6" x14ac:dyDescent="0.4">
      <c r="A59" s="1">
        <v>45469</v>
      </c>
      <c r="B59">
        <v>126.13</v>
      </c>
      <c r="C59">
        <v>128.12</v>
      </c>
      <c r="D59">
        <v>122.6</v>
      </c>
      <c r="E59">
        <v>126.4</v>
      </c>
      <c r="F59" s="2">
        <v>362975906</v>
      </c>
    </row>
    <row r="60" spans="1:6" x14ac:dyDescent="0.4">
      <c r="A60" s="1">
        <v>45470</v>
      </c>
      <c r="B60">
        <v>124.1</v>
      </c>
      <c r="C60">
        <v>126.41</v>
      </c>
      <c r="D60">
        <v>122.92</v>
      </c>
      <c r="E60">
        <v>123.99</v>
      </c>
      <c r="F60" s="2">
        <v>252571703</v>
      </c>
    </row>
    <row r="61" spans="1:6" x14ac:dyDescent="0.4">
      <c r="A61" s="1">
        <v>45471</v>
      </c>
      <c r="B61">
        <v>124.58</v>
      </c>
      <c r="C61">
        <v>127.71</v>
      </c>
      <c r="D61">
        <v>122.75</v>
      </c>
      <c r="E61">
        <v>123.54</v>
      </c>
      <c r="F61" s="2">
        <v>315516719</v>
      </c>
    </row>
    <row r="62" spans="1:6" x14ac:dyDescent="0.4">
      <c r="A62" s="1">
        <v>45474</v>
      </c>
      <c r="B62">
        <v>123.47</v>
      </c>
      <c r="C62">
        <v>124.84</v>
      </c>
      <c r="D62">
        <v>118.83</v>
      </c>
      <c r="E62">
        <v>124.3</v>
      </c>
      <c r="F62" s="2">
        <v>284885500</v>
      </c>
    </row>
    <row r="63" spans="1:6" x14ac:dyDescent="0.4">
      <c r="A63" s="1">
        <v>45475</v>
      </c>
      <c r="B63">
        <v>121.13</v>
      </c>
      <c r="C63">
        <v>123.41</v>
      </c>
      <c r="D63">
        <v>121.03</v>
      </c>
      <c r="E63">
        <v>122.67</v>
      </c>
      <c r="F63" s="2">
        <v>218374000</v>
      </c>
    </row>
    <row r="64" spans="1:6" x14ac:dyDescent="0.4">
      <c r="A64" s="1">
        <v>45476</v>
      </c>
      <c r="B64">
        <v>121.66</v>
      </c>
      <c r="C64">
        <v>128.28</v>
      </c>
      <c r="D64">
        <v>121.36</v>
      </c>
      <c r="E64">
        <v>128.28</v>
      </c>
      <c r="F64" s="2">
        <v>215748984</v>
      </c>
    </row>
    <row r="65" spans="1:6" x14ac:dyDescent="0.4">
      <c r="A65" s="1">
        <v>45478</v>
      </c>
      <c r="B65">
        <v>127.38</v>
      </c>
      <c r="C65">
        <v>128.85</v>
      </c>
      <c r="D65">
        <v>125.68</v>
      </c>
      <c r="E65">
        <v>125.83</v>
      </c>
      <c r="F65" s="2">
        <v>214176703</v>
      </c>
    </row>
    <row r="66" spans="1:6" x14ac:dyDescent="0.4">
      <c r="A66" s="1">
        <v>45481</v>
      </c>
      <c r="B66">
        <v>127.49</v>
      </c>
      <c r="C66">
        <v>130.77000000000001</v>
      </c>
      <c r="D66">
        <v>127.04</v>
      </c>
      <c r="E66">
        <v>128.19999999999999</v>
      </c>
      <c r="F66" s="2">
        <v>237677297</v>
      </c>
    </row>
    <row r="67" spans="1:6" x14ac:dyDescent="0.4">
      <c r="A67" s="1">
        <v>45482</v>
      </c>
      <c r="B67">
        <v>130.35</v>
      </c>
      <c r="C67">
        <v>133.82</v>
      </c>
      <c r="D67">
        <v>128.65</v>
      </c>
      <c r="E67">
        <v>131.38</v>
      </c>
      <c r="F67" s="2">
        <v>287020812</v>
      </c>
    </row>
    <row r="68" spans="1:6" x14ac:dyDescent="0.4">
      <c r="A68" s="1">
        <v>45483</v>
      </c>
      <c r="B68">
        <v>134.03</v>
      </c>
      <c r="C68">
        <v>135.1</v>
      </c>
      <c r="D68">
        <v>132.41999999999999</v>
      </c>
      <c r="E68">
        <v>134.91</v>
      </c>
      <c r="F68" s="2">
        <v>248978594</v>
      </c>
    </row>
    <row r="69" spans="1:6" x14ac:dyDescent="0.4">
      <c r="A69" s="1">
        <v>45484</v>
      </c>
      <c r="B69">
        <v>135.75</v>
      </c>
      <c r="C69">
        <v>136.15</v>
      </c>
      <c r="D69">
        <v>127.05</v>
      </c>
      <c r="E69">
        <v>127.4</v>
      </c>
      <c r="F69" s="2">
        <v>374782688</v>
      </c>
    </row>
    <row r="70" spans="1:6" x14ac:dyDescent="0.4">
      <c r="A70" s="1">
        <v>45485</v>
      </c>
      <c r="B70">
        <v>128.26</v>
      </c>
      <c r="C70">
        <v>131.91999999999999</v>
      </c>
      <c r="D70">
        <v>127.22</v>
      </c>
      <c r="E70">
        <v>129.24</v>
      </c>
      <c r="F70" s="2">
        <v>252680500</v>
      </c>
    </row>
    <row r="71" spans="1:6" x14ac:dyDescent="0.4">
      <c r="A71" s="1">
        <v>45488</v>
      </c>
      <c r="B71">
        <v>130.56</v>
      </c>
      <c r="C71">
        <v>131.38999999999999</v>
      </c>
      <c r="D71">
        <v>127.18</v>
      </c>
      <c r="E71">
        <v>128.44</v>
      </c>
      <c r="F71" s="2">
        <v>208326203</v>
      </c>
    </row>
    <row r="72" spans="1:6" x14ac:dyDescent="0.4">
      <c r="A72" s="1">
        <v>45489</v>
      </c>
      <c r="B72">
        <v>128.44</v>
      </c>
      <c r="C72">
        <v>129.04</v>
      </c>
      <c r="D72">
        <v>124.58</v>
      </c>
      <c r="E72">
        <v>126.36</v>
      </c>
      <c r="F72" s="2">
        <v>214769500</v>
      </c>
    </row>
    <row r="73" spans="1:6" x14ac:dyDescent="0.4">
      <c r="A73" s="1">
        <v>45490</v>
      </c>
      <c r="B73">
        <v>121.35</v>
      </c>
      <c r="C73">
        <v>121.85</v>
      </c>
      <c r="D73">
        <v>116.72</v>
      </c>
      <c r="E73">
        <v>117.99</v>
      </c>
      <c r="F73" s="2">
        <v>390086219</v>
      </c>
    </row>
    <row r="74" spans="1:6" x14ac:dyDescent="0.4">
      <c r="A74" s="1">
        <v>45491</v>
      </c>
      <c r="B74">
        <v>121.85</v>
      </c>
      <c r="C74">
        <v>122.4</v>
      </c>
      <c r="D74">
        <v>116.56</v>
      </c>
      <c r="E74">
        <v>121.09</v>
      </c>
      <c r="F74" s="2">
        <v>320979500</v>
      </c>
    </row>
    <row r="75" spans="1:6" x14ac:dyDescent="0.4">
      <c r="A75" s="1">
        <v>45492</v>
      </c>
      <c r="B75">
        <v>120.35</v>
      </c>
      <c r="C75">
        <v>121.6</v>
      </c>
      <c r="D75">
        <v>117.37</v>
      </c>
      <c r="E75">
        <v>117.93</v>
      </c>
      <c r="F75" s="2">
        <v>217223812</v>
      </c>
    </row>
    <row r="76" spans="1:6" x14ac:dyDescent="0.4">
      <c r="A76" s="1">
        <v>45495</v>
      </c>
      <c r="B76">
        <v>120.35</v>
      </c>
      <c r="C76">
        <v>124.07</v>
      </c>
      <c r="D76">
        <v>119.86</v>
      </c>
      <c r="E76">
        <v>123.54</v>
      </c>
      <c r="F76" s="2">
        <v>258068891</v>
      </c>
    </row>
    <row r="77" spans="1:6" x14ac:dyDescent="0.4">
      <c r="A77" s="1">
        <v>45496</v>
      </c>
      <c r="B77">
        <v>122.78</v>
      </c>
      <c r="C77">
        <v>124.69</v>
      </c>
      <c r="D77">
        <v>122.1</v>
      </c>
      <c r="E77">
        <v>122.59</v>
      </c>
      <c r="F77" s="2">
        <v>173911016</v>
      </c>
    </row>
    <row r="78" spans="1:6" x14ac:dyDescent="0.4">
      <c r="A78" s="1">
        <v>45497</v>
      </c>
      <c r="B78">
        <v>119.17</v>
      </c>
      <c r="C78">
        <v>119.95</v>
      </c>
      <c r="D78">
        <v>113.44</v>
      </c>
      <c r="E78">
        <v>114.25</v>
      </c>
      <c r="F78" s="2">
        <v>327776906</v>
      </c>
    </row>
    <row r="79" spans="1:6" x14ac:dyDescent="0.4">
      <c r="A79" s="1">
        <v>45498</v>
      </c>
      <c r="B79">
        <v>113.04</v>
      </c>
      <c r="C79">
        <v>116.63</v>
      </c>
      <c r="D79">
        <v>106.3</v>
      </c>
      <c r="E79">
        <v>112.28</v>
      </c>
      <c r="F79" s="2">
        <v>460067000</v>
      </c>
    </row>
    <row r="80" spans="1:6" x14ac:dyDescent="0.4">
      <c r="A80" s="1">
        <v>45499</v>
      </c>
      <c r="B80">
        <v>116.19</v>
      </c>
      <c r="C80">
        <v>116.2</v>
      </c>
      <c r="D80">
        <v>111.58</v>
      </c>
      <c r="E80">
        <v>113.06</v>
      </c>
      <c r="F80" s="2">
        <v>293399094</v>
      </c>
    </row>
    <row r="81" spans="1:6" x14ac:dyDescent="0.4">
      <c r="A81" s="1">
        <v>45502</v>
      </c>
      <c r="B81">
        <v>113.69</v>
      </c>
      <c r="C81">
        <v>116.28</v>
      </c>
      <c r="D81">
        <v>111.3</v>
      </c>
      <c r="E81">
        <v>111.59</v>
      </c>
      <c r="F81" s="2">
        <v>248152094</v>
      </c>
    </row>
    <row r="82" spans="1:6" x14ac:dyDescent="0.4">
      <c r="A82" s="1">
        <v>45503</v>
      </c>
      <c r="B82">
        <v>111.52</v>
      </c>
      <c r="C82">
        <v>111.99</v>
      </c>
      <c r="D82">
        <v>102.54</v>
      </c>
      <c r="E82">
        <v>103.73</v>
      </c>
      <c r="F82" s="2">
        <v>486833312</v>
      </c>
    </row>
    <row r="83" spans="1:6" x14ac:dyDescent="0.4">
      <c r="A83" s="1">
        <v>45504</v>
      </c>
      <c r="B83">
        <v>112.9</v>
      </c>
      <c r="C83">
        <v>118.34</v>
      </c>
      <c r="D83">
        <v>110.88</v>
      </c>
      <c r="E83">
        <v>117.02</v>
      </c>
      <c r="F83" s="2">
        <v>473174219</v>
      </c>
    </row>
    <row r="84" spans="1:6" x14ac:dyDescent="0.4">
      <c r="A84" s="1">
        <v>45505</v>
      </c>
      <c r="B84">
        <v>117.53</v>
      </c>
      <c r="C84">
        <v>120.16</v>
      </c>
      <c r="D84">
        <v>106.81</v>
      </c>
      <c r="E84">
        <v>109.21</v>
      </c>
      <c r="F84" s="2">
        <v>523462312</v>
      </c>
    </row>
    <row r="85" spans="1:6" x14ac:dyDescent="0.4">
      <c r="A85" s="1">
        <v>45506</v>
      </c>
      <c r="B85">
        <v>103.76</v>
      </c>
      <c r="C85">
        <v>108.72</v>
      </c>
      <c r="D85">
        <v>101.37</v>
      </c>
      <c r="E85">
        <v>107.27</v>
      </c>
      <c r="F85" s="2">
        <v>482027500</v>
      </c>
    </row>
    <row r="86" spans="1:6" x14ac:dyDescent="0.4">
      <c r="A86" s="1">
        <v>45509</v>
      </c>
      <c r="B86">
        <v>92.06</v>
      </c>
      <c r="C86">
        <v>103.41</v>
      </c>
      <c r="D86">
        <v>90.69</v>
      </c>
      <c r="E86">
        <v>100.45</v>
      </c>
      <c r="F86" s="2">
        <v>552842375</v>
      </c>
    </row>
    <row r="87" spans="1:6" x14ac:dyDescent="0.4">
      <c r="A87" s="1">
        <v>45510</v>
      </c>
      <c r="B87">
        <v>103.84</v>
      </c>
      <c r="C87">
        <v>107.71</v>
      </c>
      <c r="D87">
        <v>100.55</v>
      </c>
      <c r="E87">
        <v>104.25</v>
      </c>
      <c r="F87" s="2">
        <v>409012094</v>
      </c>
    </row>
    <row r="88" spans="1:6" x14ac:dyDescent="0.4">
      <c r="A88" s="1">
        <v>45511</v>
      </c>
      <c r="B88">
        <v>107.81</v>
      </c>
      <c r="C88">
        <v>108.8</v>
      </c>
      <c r="D88">
        <v>98.69</v>
      </c>
      <c r="E88">
        <v>98.91</v>
      </c>
      <c r="F88" s="2">
        <v>411440375</v>
      </c>
    </row>
    <row r="89" spans="1:6" x14ac:dyDescent="0.4">
      <c r="A89" s="1">
        <v>45512</v>
      </c>
      <c r="B89">
        <v>102</v>
      </c>
      <c r="C89">
        <v>105.5</v>
      </c>
      <c r="D89">
        <v>97.52</v>
      </c>
      <c r="E89">
        <v>104.97</v>
      </c>
      <c r="F89" s="2">
        <v>391910031</v>
      </c>
    </row>
    <row r="90" spans="1:6" x14ac:dyDescent="0.4">
      <c r="A90" s="1">
        <v>45513</v>
      </c>
      <c r="B90">
        <v>105.64</v>
      </c>
      <c r="C90">
        <v>106.6</v>
      </c>
      <c r="D90">
        <v>103.43</v>
      </c>
      <c r="E90">
        <v>104.75</v>
      </c>
      <c r="F90" s="2">
        <v>290844188</v>
      </c>
    </row>
    <row r="91" spans="1:6" x14ac:dyDescent="0.4">
      <c r="A91" s="1">
        <v>45516</v>
      </c>
      <c r="B91">
        <v>106.32</v>
      </c>
      <c r="C91">
        <v>111.07</v>
      </c>
      <c r="D91">
        <v>106.26</v>
      </c>
      <c r="E91">
        <v>109.02</v>
      </c>
      <c r="F91" s="2">
        <v>325559906</v>
      </c>
    </row>
    <row r="92" spans="1:6" x14ac:dyDescent="0.4">
      <c r="A92" s="1">
        <v>45517</v>
      </c>
      <c r="B92">
        <v>112.44</v>
      </c>
      <c r="C92">
        <v>116.23</v>
      </c>
      <c r="D92">
        <v>111.58</v>
      </c>
      <c r="E92">
        <v>116.14</v>
      </c>
      <c r="F92" s="2">
        <v>312646688</v>
      </c>
    </row>
    <row r="93" spans="1:6" x14ac:dyDescent="0.4">
      <c r="A93" s="1">
        <v>45518</v>
      </c>
      <c r="B93">
        <v>118.53</v>
      </c>
      <c r="C93">
        <v>118.6</v>
      </c>
      <c r="D93">
        <v>114.07</v>
      </c>
      <c r="E93">
        <v>118.08</v>
      </c>
      <c r="F93" s="2">
        <v>339246406</v>
      </c>
    </row>
    <row r="94" spans="1:6" x14ac:dyDescent="0.4">
      <c r="A94" s="1">
        <v>45519</v>
      </c>
      <c r="B94">
        <v>118.76</v>
      </c>
      <c r="C94">
        <v>123.24</v>
      </c>
      <c r="D94">
        <v>117.47</v>
      </c>
      <c r="E94">
        <v>122.86</v>
      </c>
      <c r="F94" s="2">
        <v>318086688</v>
      </c>
    </row>
    <row r="95" spans="1:6" x14ac:dyDescent="0.4">
      <c r="A95" s="1">
        <v>45520</v>
      </c>
      <c r="B95">
        <v>121.94</v>
      </c>
      <c r="C95">
        <v>125</v>
      </c>
      <c r="D95">
        <v>121.18</v>
      </c>
      <c r="E95">
        <v>124.58</v>
      </c>
      <c r="F95" s="2">
        <v>302589875</v>
      </c>
    </row>
    <row r="96" spans="1:6" x14ac:dyDescent="0.4">
      <c r="A96" s="1">
        <v>45523</v>
      </c>
      <c r="B96">
        <v>124.28</v>
      </c>
      <c r="C96">
        <v>130</v>
      </c>
      <c r="D96">
        <v>123.42</v>
      </c>
      <c r="E96">
        <v>130</v>
      </c>
      <c r="F96" s="2">
        <v>318333594</v>
      </c>
    </row>
    <row r="97" spans="1:6" x14ac:dyDescent="0.4">
      <c r="A97" s="1">
        <v>45524</v>
      </c>
      <c r="B97">
        <v>128.4</v>
      </c>
      <c r="C97">
        <v>129.88</v>
      </c>
      <c r="D97">
        <v>125.89</v>
      </c>
      <c r="E97">
        <v>127.25</v>
      </c>
      <c r="F97" s="2">
        <v>300087406</v>
      </c>
    </row>
    <row r="98" spans="1:6" x14ac:dyDescent="0.4">
      <c r="A98" s="1">
        <v>45525</v>
      </c>
      <c r="B98">
        <v>127.32</v>
      </c>
      <c r="C98">
        <v>129.35</v>
      </c>
      <c r="D98">
        <v>126.66</v>
      </c>
      <c r="E98">
        <v>128.5</v>
      </c>
      <c r="F98" s="2">
        <v>257883594</v>
      </c>
    </row>
    <row r="99" spans="1:6" x14ac:dyDescent="0.4">
      <c r="A99" s="1">
        <v>45526</v>
      </c>
      <c r="B99">
        <v>130.02000000000001</v>
      </c>
      <c r="C99">
        <v>130.75</v>
      </c>
      <c r="D99">
        <v>123.1</v>
      </c>
      <c r="E99">
        <v>123.74</v>
      </c>
      <c r="F99" s="2">
        <v>376189094</v>
      </c>
    </row>
    <row r="100" spans="1:6" x14ac:dyDescent="0.4">
      <c r="A100" s="1">
        <v>45527</v>
      </c>
      <c r="B100">
        <v>125.86</v>
      </c>
      <c r="C100">
        <v>129.6</v>
      </c>
      <c r="D100">
        <v>125.22</v>
      </c>
      <c r="E100">
        <v>129.37</v>
      </c>
      <c r="F100" s="2">
        <v>323230312</v>
      </c>
    </row>
    <row r="101" spans="1:6" x14ac:dyDescent="0.4">
      <c r="A101" s="1">
        <v>45530</v>
      </c>
      <c r="B101">
        <v>129.57</v>
      </c>
      <c r="C101">
        <v>131.26</v>
      </c>
      <c r="D101">
        <v>124.37</v>
      </c>
      <c r="E101">
        <v>126.46</v>
      </c>
      <c r="F101" s="2">
        <v>331964719</v>
      </c>
    </row>
    <row r="102" spans="1:6" x14ac:dyDescent="0.4">
      <c r="A102" s="1">
        <v>45531</v>
      </c>
      <c r="B102">
        <v>125.05</v>
      </c>
      <c r="C102">
        <v>129.19999999999999</v>
      </c>
      <c r="D102">
        <v>123.88</v>
      </c>
      <c r="E102">
        <v>128.30000000000001</v>
      </c>
      <c r="F102" s="2">
        <v>303134594</v>
      </c>
    </row>
    <row r="103" spans="1:6" x14ac:dyDescent="0.4">
      <c r="A103" s="1">
        <v>45532</v>
      </c>
      <c r="B103">
        <v>128.12</v>
      </c>
      <c r="C103">
        <v>128.33000000000001</v>
      </c>
      <c r="D103">
        <v>122.64</v>
      </c>
      <c r="E103">
        <v>125.61</v>
      </c>
      <c r="F103" s="2">
        <v>448101094</v>
      </c>
    </row>
    <row r="104" spans="1:6" x14ac:dyDescent="0.4">
      <c r="A104" s="1">
        <v>45533</v>
      </c>
      <c r="B104">
        <v>121.36</v>
      </c>
      <c r="C104">
        <v>124.43</v>
      </c>
      <c r="D104">
        <v>116.71</v>
      </c>
      <c r="E104">
        <v>117.59</v>
      </c>
      <c r="F104" s="2">
        <v>453023281</v>
      </c>
    </row>
    <row r="105" spans="1:6" x14ac:dyDescent="0.4">
      <c r="A105" s="1">
        <v>45534</v>
      </c>
      <c r="B105">
        <v>119.53</v>
      </c>
      <c r="C105">
        <v>121.75</v>
      </c>
      <c r="D105">
        <v>117.22</v>
      </c>
      <c r="E105">
        <v>119.37</v>
      </c>
      <c r="F105" s="2">
        <v>333751625</v>
      </c>
    </row>
    <row r="106" spans="1:6" x14ac:dyDescent="0.4">
      <c r="A106" s="1">
        <v>45538</v>
      </c>
      <c r="B106">
        <v>116.01</v>
      </c>
      <c r="C106">
        <v>116.21</v>
      </c>
      <c r="D106">
        <v>107.29</v>
      </c>
      <c r="E106">
        <v>108</v>
      </c>
      <c r="F106" s="2">
        <v>474972000</v>
      </c>
    </row>
    <row r="107" spans="1:6" x14ac:dyDescent="0.4">
      <c r="A107" s="1">
        <v>45539</v>
      </c>
      <c r="B107">
        <v>105.41</v>
      </c>
      <c r="C107">
        <v>113.27</v>
      </c>
      <c r="D107">
        <v>104.12</v>
      </c>
      <c r="E107">
        <v>106.21</v>
      </c>
      <c r="F107" s="2">
        <v>372470312</v>
      </c>
    </row>
    <row r="108" spans="1:6" x14ac:dyDescent="0.4">
      <c r="A108" s="1">
        <v>45540</v>
      </c>
      <c r="B108">
        <v>104.99</v>
      </c>
      <c r="C108">
        <v>109.65</v>
      </c>
      <c r="D108">
        <v>104.76</v>
      </c>
      <c r="E108">
        <v>107.21</v>
      </c>
      <c r="F108" s="2">
        <v>306850688</v>
      </c>
    </row>
    <row r="109" spans="1:6" x14ac:dyDescent="0.4">
      <c r="A109" s="1">
        <v>45541</v>
      </c>
      <c r="B109">
        <v>108.04</v>
      </c>
      <c r="C109">
        <v>108.15</v>
      </c>
      <c r="D109">
        <v>100.95</v>
      </c>
      <c r="E109">
        <v>102.83</v>
      </c>
      <c r="F109" s="2">
        <v>413638125</v>
      </c>
    </row>
    <row r="110" spans="1:6" x14ac:dyDescent="0.4">
      <c r="A110" s="1">
        <v>45544</v>
      </c>
      <c r="B110">
        <v>104.88</v>
      </c>
      <c r="C110">
        <v>106.55</v>
      </c>
      <c r="D110">
        <v>103.69</v>
      </c>
      <c r="E110">
        <v>106.47</v>
      </c>
      <c r="F110" s="2">
        <v>273912000</v>
      </c>
    </row>
    <row r="111" spans="1:6" x14ac:dyDescent="0.4">
      <c r="A111" s="1">
        <v>45545</v>
      </c>
      <c r="B111">
        <v>107.81</v>
      </c>
      <c r="C111">
        <v>109.4</v>
      </c>
      <c r="D111">
        <v>104.95</v>
      </c>
      <c r="E111">
        <v>108.1</v>
      </c>
      <c r="F111" s="2">
        <v>268283688</v>
      </c>
    </row>
    <row r="112" spans="1:6" x14ac:dyDescent="0.4">
      <c r="A112" s="1">
        <v>45546</v>
      </c>
      <c r="B112">
        <v>109.39</v>
      </c>
      <c r="C112">
        <v>117.19</v>
      </c>
      <c r="D112">
        <v>107.42</v>
      </c>
      <c r="E112">
        <v>116.91</v>
      </c>
      <c r="F112" s="2">
        <v>441422406</v>
      </c>
    </row>
    <row r="113" spans="1:6" x14ac:dyDescent="0.4">
      <c r="A113" s="1">
        <v>45547</v>
      </c>
      <c r="B113">
        <v>116.84</v>
      </c>
      <c r="C113">
        <v>120.79</v>
      </c>
      <c r="D113">
        <v>115.38</v>
      </c>
      <c r="E113">
        <v>119.14</v>
      </c>
      <c r="F113" s="2">
        <v>367100500</v>
      </c>
    </row>
    <row r="114" spans="1:6" x14ac:dyDescent="0.4">
      <c r="A114" s="1">
        <v>45548</v>
      </c>
      <c r="B114">
        <v>119.08</v>
      </c>
      <c r="C114">
        <v>119.96</v>
      </c>
      <c r="D114">
        <v>117.6</v>
      </c>
      <c r="E114">
        <v>119.1</v>
      </c>
      <c r="F114" s="2">
        <v>238358297</v>
      </c>
    </row>
    <row r="115" spans="1:6" x14ac:dyDescent="0.4">
      <c r="A115" s="1">
        <v>45551</v>
      </c>
      <c r="B115">
        <v>116.79</v>
      </c>
      <c r="C115">
        <v>118.18</v>
      </c>
      <c r="D115">
        <v>114.36</v>
      </c>
      <c r="E115">
        <v>116.78</v>
      </c>
      <c r="F115" s="2">
        <v>248772297</v>
      </c>
    </row>
    <row r="116" spans="1:6" x14ac:dyDescent="0.4">
      <c r="A116" s="1">
        <v>45552</v>
      </c>
      <c r="B116">
        <v>118.17</v>
      </c>
      <c r="C116">
        <v>118.8</v>
      </c>
      <c r="D116">
        <v>114.83</v>
      </c>
      <c r="E116">
        <v>115.59</v>
      </c>
      <c r="F116" s="2">
        <v>231925906</v>
      </c>
    </row>
    <row r="117" spans="1:6" x14ac:dyDescent="0.4">
      <c r="A117" s="1">
        <v>45553</v>
      </c>
      <c r="B117">
        <v>115.89</v>
      </c>
      <c r="C117">
        <v>117.7</v>
      </c>
      <c r="D117">
        <v>113.22</v>
      </c>
      <c r="E117">
        <v>113.37</v>
      </c>
      <c r="F117" s="2">
        <v>310318906</v>
      </c>
    </row>
    <row r="118" spans="1:6" x14ac:dyDescent="0.4">
      <c r="A118" s="1">
        <v>45554</v>
      </c>
      <c r="B118">
        <v>117.35</v>
      </c>
      <c r="C118">
        <v>119.66</v>
      </c>
      <c r="D118">
        <v>117.25</v>
      </c>
      <c r="E118">
        <v>117.87</v>
      </c>
      <c r="F118" s="2">
        <v>293506406</v>
      </c>
    </row>
    <row r="119" spans="1:6" x14ac:dyDescent="0.4">
      <c r="A119" s="1">
        <v>45555</v>
      </c>
      <c r="B119">
        <v>117.06</v>
      </c>
      <c r="C119">
        <v>118.62</v>
      </c>
      <c r="D119">
        <v>115.39</v>
      </c>
      <c r="E119">
        <v>116</v>
      </c>
      <c r="F119" s="2">
        <v>382462406</v>
      </c>
    </row>
    <row r="120" spans="1:6" x14ac:dyDescent="0.4">
      <c r="A120" s="1">
        <v>45558</v>
      </c>
      <c r="B120">
        <v>116.55</v>
      </c>
      <c r="C120">
        <v>116.99</v>
      </c>
      <c r="D120">
        <v>114.86</v>
      </c>
      <c r="E120">
        <v>116.26</v>
      </c>
      <c r="F120" s="2">
        <v>206228500</v>
      </c>
    </row>
    <row r="121" spans="1:6" x14ac:dyDescent="0.4">
      <c r="A121" s="1">
        <v>45559</v>
      </c>
      <c r="B121">
        <v>116.52</v>
      </c>
      <c r="C121">
        <v>121.8</v>
      </c>
      <c r="D121">
        <v>115.38</v>
      </c>
      <c r="E121">
        <v>120.87</v>
      </c>
      <c r="F121" s="2">
        <v>354966781</v>
      </c>
    </row>
    <row r="122" spans="1:6" x14ac:dyDescent="0.4">
      <c r="A122" s="1">
        <v>45560</v>
      </c>
      <c r="B122">
        <v>122.02</v>
      </c>
      <c r="C122">
        <v>124.94</v>
      </c>
      <c r="D122">
        <v>121.61</v>
      </c>
      <c r="E122">
        <v>123.51</v>
      </c>
      <c r="F122" s="2">
        <v>284692906</v>
      </c>
    </row>
    <row r="123" spans="1:6" x14ac:dyDescent="0.4">
      <c r="A123" s="1">
        <v>45561</v>
      </c>
      <c r="B123">
        <v>126.8</v>
      </c>
      <c r="C123">
        <v>127.67</v>
      </c>
      <c r="D123">
        <v>121.8</v>
      </c>
      <c r="E123">
        <v>124.04</v>
      </c>
      <c r="F123" s="2">
        <v>302582906</v>
      </c>
    </row>
    <row r="124" spans="1:6" x14ac:dyDescent="0.4">
      <c r="A124" s="1">
        <v>45562</v>
      </c>
      <c r="B124">
        <v>123.97</v>
      </c>
      <c r="C124">
        <v>124.03</v>
      </c>
      <c r="D124">
        <v>119.26</v>
      </c>
      <c r="E124">
        <v>121.4</v>
      </c>
      <c r="F124" s="2">
        <v>271009219</v>
      </c>
    </row>
    <row r="125" spans="1:6" x14ac:dyDescent="0.4">
      <c r="A125" s="1">
        <v>45565</v>
      </c>
      <c r="B125">
        <v>118.31</v>
      </c>
      <c r="C125">
        <v>121.5</v>
      </c>
      <c r="D125">
        <v>118.15</v>
      </c>
      <c r="E125">
        <v>121.44</v>
      </c>
      <c r="F125" s="2">
        <v>227053703</v>
      </c>
    </row>
    <row r="126" spans="1:6" x14ac:dyDescent="0.4">
      <c r="A126" s="1">
        <v>45566</v>
      </c>
      <c r="B126">
        <v>121.77</v>
      </c>
      <c r="C126">
        <v>122.44</v>
      </c>
      <c r="D126">
        <v>115.79</v>
      </c>
      <c r="E126">
        <v>117</v>
      </c>
      <c r="F126" s="2">
        <v>302094500</v>
      </c>
    </row>
    <row r="127" spans="1:6" x14ac:dyDescent="0.4">
      <c r="A127" s="1">
        <v>45567</v>
      </c>
      <c r="B127">
        <v>116.44</v>
      </c>
      <c r="C127">
        <v>119.38</v>
      </c>
      <c r="D127">
        <v>115.14</v>
      </c>
      <c r="E127">
        <v>118.85</v>
      </c>
      <c r="F127" s="2">
        <v>221845906</v>
      </c>
    </row>
    <row r="128" spans="1:6" x14ac:dyDescent="0.4">
      <c r="A128" s="1">
        <v>45568</v>
      </c>
      <c r="B128">
        <v>120.92</v>
      </c>
      <c r="C128">
        <v>124.36</v>
      </c>
      <c r="D128">
        <v>120.34</v>
      </c>
      <c r="E128">
        <v>122.85</v>
      </c>
      <c r="F128" s="2">
        <v>277118031</v>
      </c>
    </row>
    <row r="129" spans="1:6" x14ac:dyDescent="0.4">
      <c r="A129" s="1">
        <v>45569</v>
      </c>
      <c r="B129">
        <v>124.94</v>
      </c>
      <c r="C129">
        <v>125.04</v>
      </c>
      <c r="D129">
        <v>121.83</v>
      </c>
      <c r="E129">
        <v>124.92</v>
      </c>
      <c r="F129" s="2">
        <v>244465594</v>
      </c>
    </row>
    <row r="130" spans="1:6" x14ac:dyDescent="0.4">
      <c r="A130" s="1">
        <v>45572</v>
      </c>
      <c r="B130">
        <v>124.99</v>
      </c>
      <c r="C130">
        <v>130.63999999999999</v>
      </c>
      <c r="D130">
        <v>124.95</v>
      </c>
      <c r="E130">
        <v>127.72</v>
      </c>
      <c r="F130" s="2">
        <v>346250219</v>
      </c>
    </row>
    <row r="131" spans="1:6" x14ac:dyDescent="0.4">
      <c r="A131" s="1">
        <v>45573</v>
      </c>
      <c r="B131">
        <v>130.26</v>
      </c>
      <c r="C131">
        <v>133.47999999999999</v>
      </c>
      <c r="D131">
        <v>129.41999999999999</v>
      </c>
      <c r="E131">
        <v>132.88999999999999</v>
      </c>
      <c r="F131" s="2">
        <v>285722500</v>
      </c>
    </row>
    <row r="132" spans="1:6" x14ac:dyDescent="0.4">
      <c r="A132" s="1">
        <v>45574</v>
      </c>
      <c r="B132">
        <v>134.11000000000001</v>
      </c>
      <c r="C132">
        <v>134.52000000000001</v>
      </c>
      <c r="D132">
        <v>131.38</v>
      </c>
      <c r="E132">
        <v>132.65</v>
      </c>
      <c r="F132" s="2">
        <v>246191594</v>
      </c>
    </row>
    <row r="133" spans="1:6" x14ac:dyDescent="0.4">
      <c r="A133" s="1">
        <v>45575</v>
      </c>
      <c r="B133">
        <v>131.91</v>
      </c>
      <c r="C133">
        <v>135</v>
      </c>
      <c r="D133">
        <v>131</v>
      </c>
      <c r="E133">
        <v>134.81</v>
      </c>
      <c r="F133" s="2">
        <v>242311297</v>
      </c>
    </row>
    <row r="134" spans="1:6" x14ac:dyDescent="0.4">
      <c r="A134" s="1">
        <v>45576</v>
      </c>
      <c r="B134">
        <v>134.01</v>
      </c>
      <c r="C134">
        <v>135.78</v>
      </c>
      <c r="D134">
        <v>133.66</v>
      </c>
      <c r="E134">
        <v>134.80000000000001</v>
      </c>
      <c r="F134" s="2">
        <v>170209500</v>
      </c>
    </row>
    <row r="135" spans="1:6" x14ac:dyDescent="0.4">
      <c r="A135" s="1">
        <v>45579</v>
      </c>
      <c r="B135">
        <v>136.47</v>
      </c>
      <c r="C135">
        <v>139.6</v>
      </c>
      <c r="D135">
        <v>136.30000000000001</v>
      </c>
      <c r="E135">
        <v>138.07</v>
      </c>
      <c r="F135" s="2">
        <v>232347703</v>
      </c>
    </row>
    <row r="136" spans="1:6" x14ac:dyDescent="0.4">
      <c r="A136" s="1">
        <v>45580</v>
      </c>
      <c r="B136">
        <v>137.87</v>
      </c>
      <c r="C136">
        <v>138.57</v>
      </c>
      <c r="D136">
        <v>128.74</v>
      </c>
      <c r="E136">
        <v>131.6</v>
      </c>
      <c r="F136" s="2">
        <v>377831000</v>
      </c>
    </row>
    <row r="137" spans="1:6" x14ac:dyDescent="0.4">
      <c r="A137" s="1">
        <v>45581</v>
      </c>
      <c r="B137">
        <v>133.97999999999999</v>
      </c>
      <c r="C137">
        <v>136.62</v>
      </c>
      <c r="D137">
        <v>131.58000000000001</v>
      </c>
      <c r="E137">
        <v>135.72</v>
      </c>
      <c r="F137" s="2">
        <v>264879688</v>
      </c>
    </row>
    <row r="138" spans="1:6" x14ac:dyDescent="0.4">
      <c r="A138" s="1">
        <v>45582</v>
      </c>
      <c r="B138">
        <v>139.34</v>
      </c>
      <c r="C138">
        <v>140.88999999999999</v>
      </c>
      <c r="D138">
        <v>136.87</v>
      </c>
      <c r="E138">
        <v>136.93</v>
      </c>
      <c r="F138" s="2">
        <v>306435906</v>
      </c>
    </row>
    <row r="139" spans="1:6" x14ac:dyDescent="0.4">
      <c r="A139" s="1">
        <v>45583</v>
      </c>
      <c r="B139">
        <v>138.66999999999999</v>
      </c>
      <c r="C139">
        <v>138.9</v>
      </c>
      <c r="D139">
        <v>137.28</v>
      </c>
      <c r="E139">
        <v>138</v>
      </c>
      <c r="F139" s="2">
        <v>176090203</v>
      </c>
    </row>
    <row r="140" spans="1:6" x14ac:dyDescent="0.4">
      <c r="A140" s="1">
        <v>45586</v>
      </c>
      <c r="B140">
        <v>138.13</v>
      </c>
      <c r="C140">
        <v>143.71</v>
      </c>
      <c r="D140">
        <v>138</v>
      </c>
      <c r="E140">
        <v>143.71</v>
      </c>
      <c r="F140" s="2">
        <v>264554500</v>
      </c>
    </row>
    <row r="141" spans="1:6" x14ac:dyDescent="0.4">
      <c r="A141" s="1">
        <v>45587</v>
      </c>
      <c r="B141">
        <v>142.91</v>
      </c>
      <c r="C141">
        <v>144.41999999999999</v>
      </c>
      <c r="D141">
        <v>141.78</v>
      </c>
      <c r="E141">
        <v>143.59</v>
      </c>
      <c r="F141" s="2">
        <v>226311594</v>
      </c>
    </row>
    <row r="142" spans="1:6" x14ac:dyDescent="0.4">
      <c r="A142" s="1">
        <v>45588</v>
      </c>
      <c r="B142">
        <v>142.03</v>
      </c>
      <c r="C142">
        <v>142.43</v>
      </c>
      <c r="D142">
        <v>137.46</v>
      </c>
      <c r="E142">
        <v>139.56</v>
      </c>
      <c r="F142" s="2">
        <v>285929969</v>
      </c>
    </row>
    <row r="143" spans="1:6" x14ac:dyDescent="0.4">
      <c r="A143" s="1">
        <v>45589</v>
      </c>
      <c r="B143">
        <v>140.82</v>
      </c>
      <c r="C143">
        <v>141.35</v>
      </c>
      <c r="D143">
        <v>138.46</v>
      </c>
      <c r="E143">
        <v>140.41</v>
      </c>
      <c r="F143" s="2">
        <v>172354891</v>
      </c>
    </row>
    <row r="144" spans="1:6" x14ac:dyDescent="0.4">
      <c r="A144" s="1">
        <v>45590</v>
      </c>
      <c r="B144">
        <v>140.93</v>
      </c>
      <c r="C144">
        <v>144.13</v>
      </c>
      <c r="D144">
        <v>140.80000000000001</v>
      </c>
      <c r="E144">
        <v>141.54</v>
      </c>
      <c r="F144" s="2">
        <v>205122094</v>
      </c>
    </row>
    <row r="145" spans="1:6" x14ac:dyDescent="0.4">
      <c r="A145" s="1">
        <v>45593</v>
      </c>
      <c r="B145">
        <v>143</v>
      </c>
      <c r="C145">
        <v>143.13999999999999</v>
      </c>
      <c r="D145">
        <v>140.05000000000001</v>
      </c>
      <c r="E145">
        <v>140.52000000000001</v>
      </c>
      <c r="F145" s="2">
        <v>173586703</v>
      </c>
    </row>
    <row r="146" spans="1:6" x14ac:dyDescent="0.4">
      <c r="A146" s="1">
        <v>45594</v>
      </c>
      <c r="B146">
        <v>140.29</v>
      </c>
      <c r="C146">
        <v>142.26</v>
      </c>
      <c r="D146">
        <v>138.9</v>
      </c>
      <c r="E146">
        <v>141.25</v>
      </c>
      <c r="F146" s="2">
        <v>157593594</v>
      </c>
    </row>
    <row r="147" spans="1:6" x14ac:dyDescent="0.4">
      <c r="A147" s="1">
        <v>45595</v>
      </c>
      <c r="B147">
        <v>139.54</v>
      </c>
      <c r="C147">
        <v>140.33000000000001</v>
      </c>
      <c r="D147">
        <v>136.81</v>
      </c>
      <c r="E147">
        <v>139.34</v>
      </c>
      <c r="F147" s="2">
        <v>179418094</v>
      </c>
    </row>
    <row r="148" spans="1:6" x14ac:dyDescent="0.4">
      <c r="A148" s="1">
        <v>45596</v>
      </c>
      <c r="B148">
        <v>137.6</v>
      </c>
      <c r="C148">
        <v>137.61000000000001</v>
      </c>
      <c r="D148">
        <v>132.11000000000001</v>
      </c>
      <c r="E148">
        <v>132.76</v>
      </c>
      <c r="F148" s="2">
        <v>270039625</v>
      </c>
    </row>
    <row r="149" spans="1:6" x14ac:dyDescent="0.4">
      <c r="A149" s="1">
        <v>45597</v>
      </c>
      <c r="B149">
        <v>134.69999999999999</v>
      </c>
      <c r="C149">
        <v>137.31</v>
      </c>
      <c r="D149">
        <v>134.57</v>
      </c>
      <c r="E149">
        <v>135.4</v>
      </c>
      <c r="F149" s="2">
        <v>207127812</v>
      </c>
    </row>
    <row r="150" spans="1:6" x14ac:dyDescent="0.4">
      <c r="A150" s="1">
        <v>45600</v>
      </c>
      <c r="B150">
        <v>137.21</v>
      </c>
      <c r="C150">
        <v>138.96</v>
      </c>
      <c r="D150">
        <v>135.57</v>
      </c>
      <c r="E150">
        <v>136.05000000000001</v>
      </c>
      <c r="F150" s="2">
        <v>187528188</v>
      </c>
    </row>
    <row r="151" spans="1:6" x14ac:dyDescent="0.4">
      <c r="A151" s="1">
        <v>45601</v>
      </c>
      <c r="B151">
        <v>137.44999999999999</v>
      </c>
      <c r="C151">
        <v>140.37</v>
      </c>
      <c r="D151">
        <v>137.33000000000001</v>
      </c>
      <c r="E151">
        <v>139.91</v>
      </c>
      <c r="F151" s="2">
        <v>160537406</v>
      </c>
    </row>
    <row r="152" spans="1:6" x14ac:dyDescent="0.4">
      <c r="A152" s="1">
        <v>45602</v>
      </c>
      <c r="B152">
        <v>142.96</v>
      </c>
      <c r="C152">
        <v>146.49</v>
      </c>
      <c r="D152">
        <v>141.96</v>
      </c>
      <c r="E152">
        <v>145.61000000000001</v>
      </c>
      <c r="F152" s="2">
        <v>242043906</v>
      </c>
    </row>
    <row r="153" spans="1:6" x14ac:dyDescent="0.4">
      <c r="A153" s="1">
        <v>45603</v>
      </c>
      <c r="B153">
        <v>146.38999999999999</v>
      </c>
      <c r="C153">
        <v>148.93</v>
      </c>
      <c r="D153">
        <v>146.16999999999999</v>
      </c>
      <c r="E153">
        <v>148.88</v>
      </c>
      <c r="F153" s="2">
        <v>207323297</v>
      </c>
    </row>
    <row r="154" spans="1:6" x14ac:dyDescent="0.4">
      <c r="A154" s="1">
        <v>45604</v>
      </c>
      <c r="B154">
        <v>148.77000000000001</v>
      </c>
      <c r="C154">
        <v>149.77000000000001</v>
      </c>
      <c r="D154">
        <v>146.26</v>
      </c>
      <c r="E154">
        <v>147.63</v>
      </c>
      <c r="F154" s="2">
        <v>175665797</v>
      </c>
    </row>
    <row r="155" spans="1:6" x14ac:dyDescent="0.4">
      <c r="A155" s="1">
        <v>45607</v>
      </c>
      <c r="B155">
        <v>148.68</v>
      </c>
      <c r="C155">
        <v>148.85</v>
      </c>
      <c r="D155">
        <v>143.57</v>
      </c>
      <c r="E155">
        <v>145.26</v>
      </c>
      <c r="F155" s="2">
        <v>182325594</v>
      </c>
    </row>
    <row r="156" spans="1:6" x14ac:dyDescent="0.4">
      <c r="A156" s="1">
        <v>45608</v>
      </c>
      <c r="B156">
        <v>146.78</v>
      </c>
      <c r="C156">
        <v>149.65</v>
      </c>
      <c r="D156">
        <v>146.01</v>
      </c>
      <c r="E156">
        <v>148.29</v>
      </c>
      <c r="F156" s="2">
        <v>198634703</v>
      </c>
    </row>
    <row r="157" spans="1:6" x14ac:dyDescent="0.4">
      <c r="A157" s="1">
        <v>45609</v>
      </c>
      <c r="B157">
        <v>149.07</v>
      </c>
      <c r="C157">
        <v>149.33000000000001</v>
      </c>
      <c r="D157">
        <v>145.9</v>
      </c>
      <c r="E157">
        <v>146.27000000000001</v>
      </c>
      <c r="F157" s="2">
        <v>191903297</v>
      </c>
    </row>
    <row r="158" spans="1:6" x14ac:dyDescent="0.4">
      <c r="A158" s="1">
        <v>45610</v>
      </c>
      <c r="B158">
        <v>147.63999999999999</v>
      </c>
      <c r="C158">
        <v>149</v>
      </c>
      <c r="D158">
        <v>145.55000000000001</v>
      </c>
      <c r="E158">
        <v>146.76</v>
      </c>
      <c r="F158" s="2">
        <v>194463297</v>
      </c>
    </row>
    <row r="159" spans="1:6" x14ac:dyDescent="0.4">
      <c r="A159" s="1">
        <v>45611</v>
      </c>
      <c r="B159">
        <v>144.87</v>
      </c>
      <c r="C159">
        <v>145.24</v>
      </c>
      <c r="D159">
        <v>140.08000000000001</v>
      </c>
      <c r="E159">
        <v>141.97999999999999</v>
      </c>
      <c r="F159" s="2">
        <v>250132891</v>
      </c>
    </row>
    <row r="160" spans="1:6" x14ac:dyDescent="0.4">
      <c r="A160" s="1">
        <v>45614</v>
      </c>
      <c r="B160">
        <v>139.5</v>
      </c>
      <c r="C160">
        <v>141.55000000000001</v>
      </c>
      <c r="D160">
        <v>137.15</v>
      </c>
      <c r="E160">
        <v>140.15</v>
      </c>
      <c r="F160" s="2">
        <v>221866000</v>
      </c>
    </row>
    <row r="161" spans="1:6" x14ac:dyDescent="0.4">
      <c r="A161" s="1">
        <v>45615</v>
      </c>
      <c r="B161">
        <v>141.32</v>
      </c>
      <c r="C161">
        <v>147.13</v>
      </c>
      <c r="D161">
        <v>140.99</v>
      </c>
      <c r="E161">
        <v>147.01</v>
      </c>
      <c r="F161" s="2">
        <v>227834891</v>
      </c>
    </row>
    <row r="162" spans="1:6" x14ac:dyDescent="0.4">
      <c r="A162" s="1">
        <v>45616</v>
      </c>
      <c r="B162">
        <v>147.41</v>
      </c>
      <c r="C162">
        <v>147.56</v>
      </c>
      <c r="D162">
        <v>142.72999999999999</v>
      </c>
      <c r="E162">
        <v>145.88999999999999</v>
      </c>
      <c r="F162" s="2">
        <v>309871719</v>
      </c>
    </row>
    <row r="163" spans="1:6" x14ac:dyDescent="0.4">
      <c r="A163" s="1">
        <v>45617</v>
      </c>
      <c r="B163">
        <v>149.35</v>
      </c>
      <c r="C163">
        <v>152.88999999999999</v>
      </c>
      <c r="D163">
        <v>140.69999999999999</v>
      </c>
      <c r="E163">
        <v>146.66999999999999</v>
      </c>
      <c r="F163" s="2">
        <v>400946594</v>
      </c>
    </row>
    <row r="164" spans="1:6" x14ac:dyDescent="0.4">
      <c r="A164" s="1">
        <v>45618</v>
      </c>
      <c r="B164">
        <v>145.93</v>
      </c>
      <c r="C164">
        <v>147.16</v>
      </c>
      <c r="D164">
        <v>141.1</v>
      </c>
      <c r="E164">
        <v>141.94999999999999</v>
      </c>
      <c r="F164" s="2">
        <v>236406203</v>
      </c>
    </row>
    <row r="165" spans="1:6" x14ac:dyDescent="0.4">
      <c r="A165" s="1">
        <v>45621</v>
      </c>
      <c r="B165">
        <v>141.99</v>
      </c>
      <c r="C165">
        <v>142.05000000000001</v>
      </c>
      <c r="D165">
        <v>135.82</v>
      </c>
      <c r="E165">
        <v>136.02000000000001</v>
      </c>
      <c r="F165" s="2">
        <v>344941875</v>
      </c>
    </row>
    <row r="166" spans="1:6" x14ac:dyDescent="0.4">
      <c r="A166" s="1">
        <v>45622</v>
      </c>
      <c r="B166">
        <v>137.69999999999999</v>
      </c>
      <c r="C166">
        <v>139.30000000000001</v>
      </c>
      <c r="D166">
        <v>135.66999999999999</v>
      </c>
      <c r="E166">
        <v>136.91999999999999</v>
      </c>
      <c r="F166" s="2">
        <v>190287703</v>
      </c>
    </row>
    <row r="167" spans="1:6" x14ac:dyDescent="0.4">
      <c r="A167" s="1">
        <v>45623</v>
      </c>
      <c r="B167">
        <v>135.01</v>
      </c>
      <c r="C167">
        <v>137.22</v>
      </c>
      <c r="D167">
        <v>131.80000000000001</v>
      </c>
      <c r="E167">
        <v>135.34</v>
      </c>
      <c r="F167" s="2">
        <v>226370891</v>
      </c>
    </row>
    <row r="168" spans="1:6" x14ac:dyDescent="0.4">
      <c r="A168" s="1">
        <v>45625</v>
      </c>
      <c r="B168">
        <v>136.78</v>
      </c>
      <c r="C168">
        <v>139.35</v>
      </c>
      <c r="D168">
        <v>136.05000000000001</v>
      </c>
      <c r="E168">
        <v>138.25</v>
      </c>
      <c r="F168" s="2">
        <v>141863203</v>
      </c>
    </row>
    <row r="169" spans="1:6" x14ac:dyDescent="0.4">
      <c r="A169" s="1">
        <v>45628</v>
      </c>
      <c r="B169">
        <v>138.83000000000001</v>
      </c>
      <c r="C169">
        <v>140.44999999999999</v>
      </c>
      <c r="D169">
        <v>137.83000000000001</v>
      </c>
      <c r="E169">
        <v>138.63</v>
      </c>
      <c r="F169" s="2">
        <v>171682797</v>
      </c>
    </row>
    <row r="170" spans="1:6" x14ac:dyDescent="0.4">
      <c r="A170" s="1">
        <v>45629</v>
      </c>
      <c r="B170">
        <v>138.26</v>
      </c>
      <c r="C170">
        <v>140.54</v>
      </c>
      <c r="D170">
        <v>137.94999999999999</v>
      </c>
      <c r="E170">
        <v>140.26</v>
      </c>
      <c r="F170" s="2">
        <v>164414000</v>
      </c>
    </row>
    <row r="171" spans="1:6" x14ac:dyDescent="0.4">
      <c r="A171" s="1">
        <v>45630</v>
      </c>
      <c r="B171">
        <v>142</v>
      </c>
      <c r="C171">
        <v>145.79</v>
      </c>
      <c r="D171">
        <v>140.29</v>
      </c>
      <c r="E171">
        <v>145.13999999999999</v>
      </c>
      <c r="F171" s="2">
        <v>231224297</v>
      </c>
    </row>
    <row r="172" spans="1:6" x14ac:dyDescent="0.4">
      <c r="A172" s="1">
        <v>45631</v>
      </c>
      <c r="B172">
        <v>145.11000000000001</v>
      </c>
      <c r="C172">
        <v>146.54</v>
      </c>
      <c r="D172">
        <v>143.94999999999999</v>
      </c>
      <c r="E172">
        <v>145.06</v>
      </c>
      <c r="F172" s="2">
        <v>172621203</v>
      </c>
    </row>
    <row r="173" spans="1:6" x14ac:dyDescent="0.4">
      <c r="A173" s="1">
        <v>45632</v>
      </c>
      <c r="B173">
        <v>144.6</v>
      </c>
      <c r="C173">
        <v>145.69999999999999</v>
      </c>
      <c r="D173">
        <v>141.31</v>
      </c>
      <c r="E173">
        <v>142.44</v>
      </c>
      <c r="F173" s="2">
        <v>188505594</v>
      </c>
    </row>
    <row r="174" spans="1:6" x14ac:dyDescent="0.4">
      <c r="A174" s="1">
        <v>45635</v>
      </c>
      <c r="B174">
        <v>138.97</v>
      </c>
      <c r="C174">
        <v>139.94999999999999</v>
      </c>
      <c r="D174">
        <v>137.13</v>
      </c>
      <c r="E174">
        <v>138.81</v>
      </c>
      <c r="F174" s="2">
        <v>189308609</v>
      </c>
    </row>
    <row r="175" spans="1:6" x14ac:dyDescent="0.4">
      <c r="A175" s="1">
        <v>45636</v>
      </c>
      <c r="B175">
        <v>139.01</v>
      </c>
      <c r="C175">
        <v>141.82</v>
      </c>
      <c r="D175">
        <v>133.79</v>
      </c>
      <c r="E175">
        <v>135.07</v>
      </c>
      <c r="F175" s="2">
        <v>210020891</v>
      </c>
    </row>
    <row r="176" spans="1:6" x14ac:dyDescent="0.4">
      <c r="A176" s="1">
        <v>45637</v>
      </c>
      <c r="B176">
        <v>137.36000000000001</v>
      </c>
      <c r="C176">
        <v>140.16999999999999</v>
      </c>
      <c r="D176">
        <v>135.21</v>
      </c>
      <c r="E176">
        <v>139.31</v>
      </c>
      <c r="F176" s="2">
        <v>184905203</v>
      </c>
    </row>
    <row r="177" spans="1:6" x14ac:dyDescent="0.4">
      <c r="A177" s="1">
        <v>45638</v>
      </c>
      <c r="B177">
        <v>137.08000000000001</v>
      </c>
      <c r="C177">
        <v>138.44</v>
      </c>
      <c r="D177">
        <v>135.80000000000001</v>
      </c>
      <c r="E177">
        <v>137.34</v>
      </c>
      <c r="F177" s="2">
        <v>159211391</v>
      </c>
    </row>
    <row r="178" spans="1:6" x14ac:dyDescent="0.4">
      <c r="A178" s="1">
        <v>45639</v>
      </c>
      <c r="B178">
        <v>138.94</v>
      </c>
      <c r="C178">
        <v>139.6</v>
      </c>
      <c r="D178">
        <v>132.54</v>
      </c>
      <c r="E178">
        <v>134.25</v>
      </c>
      <c r="F178" s="2">
        <v>231514891</v>
      </c>
    </row>
    <row r="179" spans="1:6" x14ac:dyDescent="0.4">
      <c r="A179" s="1">
        <v>45642</v>
      </c>
      <c r="B179">
        <v>134.18</v>
      </c>
      <c r="C179">
        <v>134.4</v>
      </c>
      <c r="D179">
        <v>130.41999999999999</v>
      </c>
      <c r="E179">
        <v>132</v>
      </c>
      <c r="F179" s="2">
        <v>237951109</v>
      </c>
    </row>
    <row r="180" spans="1:6" x14ac:dyDescent="0.4">
      <c r="A180" s="1">
        <v>45643</v>
      </c>
      <c r="B180">
        <v>129.09</v>
      </c>
      <c r="C180">
        <v>131.59</v>
      </c>
      <c r="D180">
        <v>126.86</v>
      </c>
      <c r="E180">
        <v>130.38999999999999</v>
      </c>
      <c r="F180" s="2">
        <v>259410297</v>
      </c>
    </row>
    <row r="181" spans="1:6" x14ac:dyDescent="0.4">
      <c r="A181" s="1">
        <v>45644</v>
      </c>
      <c r="B181">
        <v>133.86000000000001</v>
      </c>
      <c r="C181">
        <v>136.69999999999999</v>
      </c>
      <c r="D181">
        <v>128.28</v>
      </c>
      <c r="E181">
        <v>128.91</v>
      </c>
      <c r="F181" s="2">
        <v>277444500</v>
      </c>
    </row>
    <row r="182" spans="1:6" x14ac:dyDescent="0.4">
      <c r="A182" s="1">
        <v>45645</v>
      </c>
      <c r="B182">
        <v>131.76</v>
      </c>
      <c r="C182">
        <v>134.03</v>
      </c>
      <c r="D182">
        <v>129.55000000000001</v>
      </c>
      <c r="E182">
        <v>130.68</v>
      </c>
      <c r="F182" s="2">
        <v>209719203</v>
      </c>
    </row>
    <row r="183" spans="1:6" x14ac:dyDescent="0.4">
      <c r="A183" s="1">
        <v>45646</v>
      </c>
      <c r="B183">
        <v>129.81</v>
      </c>
      <c r="C183">
        <v>135.28</v>
      </c>
      <c r="D183">
        <v>128.22</v>
      </c>
      <c r="E183">
        <v>134.69999999999999</v>
      </c>
      <c r="F183" s="2">
        <v>306528594</v>
      </c>
    </row>
    <row r="184" spans="1:6" x14ac:dyDescent="0.4">
      <c r="A184" s="1">
        <v>45649</v>
      </c>
      <c r="B184">
        <v>136.28</v>
      </c>
      <c r="C184">
        <v>139.79</v>
      </c>
      <c r="D184">
        <v>135.12</v>
      </c>
      <c r="E184">
        <v>139.66999999999999</v>
      </c>
      <c r="F184" s="2">
        <v>176053500</v>
      </c>
    </row>
    <row r="185" spans="1:6" x14ac:dyDescent="0.4">
      <c r="A185" s="1">
        <v>45650</v>
      </c>
      <c r="B185">
        <v>140</v>
      </c>
      <c r="C185">
        <v>141.9</v>
      </c>
      <c r="D185">
        <v>138.65</v>
      </c>
      <c r="E185">
        <v>140.22</v>
      </c>
      <c r="F185" s="2">
        <v>105157000</v>
      </c>
    </row>
    <row r="186" spans="1:6" x14ac:dyDescent="0.4">
      <c r="A186" s="1">
        <v>45652</v>
      </c>
      <c r="B186">
        <v>139.69999999999999</v>
      </c>
      <c r="C186">
        <v>140.85</v>
      </c>
      <c r="D186">
        <v>137.72999999999999</v>
      </c>
      <c r="E186">
        <v>139.93</v>
      </c>
      <c r="F186" s="2">
        <v>116519102</v>
      </c>
    </row>
    <row r="187" spans="1:6" x14ac:dyDescent="0.4">
      <c r="A187" s="1">
        <v>45653</v>
      </c>
      <c r="B187">
        <v>138.55000000000001</v>
      </c>
      <c r="C187">
        <v>139.02000000000001</v>
      </c>
      <c r="D187">
        <v>134.71</v>
      </c>
      <c r="E187">
        <v>137.01</v>
      </c>
      <c r="F187" s="2">
        <v>170582594</v>
      </c>
    </row>
    <row r="188" spans="1:6" x14ac:dyDescent="0.4">
      <c r="A188" s="1">
        <v>45656</v>
      </c>
      <c r="B188">
        <v>134.83000000000001</v>
      </c>
      <c r="C188">
        <v>140.27000000000001</v>
      </c>
      <c r="D188">
        <v>134.02000000000001</v>
      </c>
      <c r="E188">
        <v>137.49</v>
      </c>
      <c r="F188" s="2">
        <v>167734703</v>
      </c>
    </row>
    <row r="189" spans="1:6" x14ac:dyDescent="0.4">
      <c r="A189" s="1">
        <v>45657</v>
      </c>
      <c r="B189">
        <v>138.03</v>
      </c>
      <c r="C189">
        <v>138.07</v>
      </c>
      <c r="D189">
        <v>133.83000000000001</v>
      </c>
      <c r="E189">
        <v>134.29</v>
      </c>
      <c r="F189" s="2">
        <v>155659203</v>
      </c>
    </row>
    <row r="190" spans="1:6" x14ac:dyDescent="0.4">
      <c r="A190" s="1">
        <v>45659</v>
      </c>
      <c r="B190">
        <v>136</v>
      </c>
      <c r="C190">
        <v>138.88</v>
      </c>
      <c r="D190">
        <v>134.63</v>
      </c>
      <c r="E190">
        <v>138.31</v>
      </c>
      <c r="F190" s="2">
        <v>198247203</v>
      </c>
    </row>
    <row r="191" spans="1:6" x14ac:dyDescent="0.4">
      <c r="A191" s="1">
        <v>45660</v>
      </c>
      <c r="B191">
        <v>140.01</v>
      </c>
      <c r="C191">
        <v>144.9</v>
      </c>
      <c r="D191">
        <v>139.72999999999999</v>
      </c>
      <c r="E191">
        <v>144.47</v>
      </c>
      <c r="F191" s="2">
        <v>229322500</v>
      </c>
    </row>
    <row r="192" spans="1:6" x14ac:dyDescent="0.4">
      <c r="A192" s="1">
        <v>45663</v>
      </c>
      <c r="B192">
        <v>148.59</v>
      </c>
      <c r="C192">
        <v>152.16</v>
      </c>
      <c r="D192">
        <v>147.82</v>
      </c>
      <c r="E192">
        <v>149.43</v>
      </c>
      <c r="F192" s="2">
        <v>265377406</v>
      </c>
    </row>
    <row r="193" spans="1:6" x14ac:dyDescent="0.4">
      <c r="A193" s="1">
        <v>45664</v>
      </c>
      <c r="B193">
        <v>153.03</v>
      </c>
      <c r="C193">
        <v>153.13</v>
      </c>
      <c r="D193">
        <v>140.01</v>
      </c>
      <c r="E193">
        <v>140.13999999999999</v>
      </c>
      <c r="F193" s="2">
        <v>351782219</v>
      </c>
    </row>
    <row r="194" spans="1:6" x14ac:dyDescent="0.4">
      <c r="A194" s="1">
        <v>45665</v>
      </c>
      <c r="B194">
        <v>142.58000000000001</v>
      </c>
      <c r="C194">
        <v>143.94999999999999</v>
      </c>
      <c r="D194">
        <v>137.56</v>
      </c>
      <c r="E194">
        <v>140.11000000000001</v>
      </c>
      <c r="F194" s="2">
        <v>227349906</v>
      </c>
    </row>
    <row r="195" spans="1:6" x14ac:dyDescent="0.4">
      <c r="A195" s="1">
        <v>45667</v>
      </c>
      <c r="B195">
        <v>137.44999999999999</v>
      </c>
      <c r="C195">
        <v>139.91999999999999</v>
      </c>
      <c r="D195">
        <v>134.22</v>
      </c>
      <c r="E195">
        <v>135.91</v>
      </c>
      <c r="F195" s="2">
        <v>207602500</v>
      </c>
    </row>
    <row r="196" spans="1:6" x14ac:dyDescent="0.4">
      <c r="A196" s="1">
        <v>45670</v>
      </c>
      <c r="B196">
        <v>129.99</v>
      </c>
      <c r="C196">
        <v>133.49</v>
      </c>
      <c r="D196">
        <v>129.51</v>
      </c>
      <c r="E196">
        <v>133.22999999999999</v>
      </c>
      <c r="F196" s="2">
        <v>204808891</v>
      </c>
    </row>
    <row r="197" spans="1:6" x14ac:dyDescent="0.4">
      <c r="A197" s="1">
        <v>45671</v>
      </c>
      <c r="B197">
        <v>136.05000000000001</v>
      </c>
      <c r="C197">
        <v>136.38</v>
      </c>
      <c r="D197">
        <v>130.05000000000001</v>
      </c>
      <c r="E197">
        <v>131.76</v>
      </c>
      <c r="F197" s="2">
        <v>195590500</v>
      </c>
    </row>
    <row r="198" spans="1:6" x14ac:dyDescent="0.4">
      <c r="A198" s="1">
        <v>45672</v>
      </c>
      <c r="B198">
        <v>133.65</v>
      </c>
      <c r="C198">
        <v>136.44999999999999</v>
      </c>
      <c r="D198">
        <v>131.29</v>
      </c>
      <c r="E198">
        <v>136.24</v>
      </c>
      <c r="F198" s="2">
        <v>185217297</v>
      </c>
    </row>
    <row r="199" spans="1:6" x14ac:dyDescent="0.4">
      <c r="A199" s="1">
        <v>45673</v>
      </c>
      <c r="B199">
        <v>138.63999999999999</v>
      </c>
      <c r="C199">
        <v>138.75</v>
      </c>
      <c r="D199">
        <v>133.49</v>
      </c>
      <c r="E199">
        <v>133.57</v>
      </c>
      <c r="F199" s="2">
        <v>209235594</v>
      </c>
    </row>
    <row r="200" spans="1:6" x14ac:dyDescent="0.4">
      <c r="A200" s="1">
        <v>45674</v>
      </c>
      <c r="B200">
        <v>136.69</v>
      </c>
      <c r="C200">
        <v>138.5</v>
      </c>
      <c r="D200">
        <v>135.46</v>
      </c>
      <c r="E200">
        <v>137.71</v>
      </c>
      <c r="F200" s="2">
        <v>201188797</v>
      </c>
    </row>
    <row r="201" spans="1:6" x14ac:dyDescent="0.4">
      <c r="A201" s="1">
        <v>45678</v>
      </c>
      <c r="B201">
        <v>139.16</v>
      </c>
      <c r="C201">
        <v>141.83000000000001</v>
      </c>
      <c r="D201">
        <v>137.09</v>
      </c>
      <c r="E201">
        <v>140.83000000000001</v>
      </c>
      <c r="F201" s="2">
        <v>197748984</v>
      </c>
    </row>
    <row r="202" spans="1:6" x14ac:dyDescent="0.4">
      <c r="A202" s="1">
        <v>45679</v>
      </c>
      <c r="B202">
        <v>144.66</v>
      </c>
      <c r="C202">
        <v>147.79</v>
      </c>
      <c r="D202">
        <v>143.66999999999999</v>
      </c>
      <c r="E202">
        <v>147.07</v>
      </c>
      <c r="F202" s="2">
        <v>237651391</v>
      </c>
    </row>
    <row r="203" spans="1:6" x14ac:dyDescent="0.4">
      <c r="A203" s="1">
        <v>45680</v>
      </c>
      <c r="B203">
        <v>145.05000000000001</v>
      </c>
      <c r="C203">
        <v>147.22999999999999</v>
      </c>
      <c r="D203">
        <v>143.72</v>
      </c>
      <c r="E203">
        <v>147.22</v>
      </c>
      <c r="F203" s="2">
        <v>155915500</v>
      </c>
    </row>
    <row r="204" spans="1:6" x14ac:dyDescent="0.4">
      <c r="A204" s="1">
        <v>45681</v>
      </c>
      <c r="B204">
        <v>148.37</v>
      </c>
      <c r="C204">
        <v>148.97</v>
      </c>
      <c r="D204">
        <v>141.88</v>
      </c>
      <c r="E204">
        <v>142.62</v>
      </c>
      <c r="F204" s="2">
        <v>234657594</v>
      </c>
    </row>
    <row r="205" spans="1:6" x14ac:dyDescent="0.4">
      <c r="A205" s="1">
        <v>45684</v>
      </c>
      <c r="B205">
        <v>124.8</v>
      </c>
      <c r="C205">
        <v>128.4</v>
      </c>
      <c r="D205">
        <v>116.7</v>
      </c>
      <c r="E205">
        <v>118.42</v>
      </c>
      <c r="F205" s="2">
        <v>818830938</v>
      </c>
    </row>
    <row r="206" spans="1:6" x14ac:dyDescent="0.4">
      <c r="A206" s="1">
        <v>45685</v>
      </c>
      <c r="B206">
        <v>121.81</v>
      </c>
      <c r="C206">
        <v>129</v>
      </c>
      <c r="D206">
        <v>116.25</v>
      </c>
      <c r="E206">
        <v>128.99</v>
      </c>
      <c r="F206" s="2">
        <v>579666438</v>
      </c>
    </row>
    <row r="207" spans="1:6" x14ac:dyDescent="0.4">
      <c r="A207" s="1">
        <v>45686</v>
      </c>
      <c r="B207">
        <v>126.5</v>
      </c>
      <c r="C207">
        <v>126.89</v>
      </c>
      <c r="D207">
        <v>120.05</v>
      </c>
      <c r="E207">
        <v>123.7</v>
      </c>
      <c r="F207" s="2">
        <v>467120594</v>
      </c>
    </row>
    <row r="208" spans="1:6" x14ac:dyDescent="0.4">
      <c r="A208" s="1">
        <v>45687</v>
      </c>
      <c r="B208">
        <v>123.1</v>
      </c>
      <c r="C208">
        <v>125</v>
      </c>
      <c r="D208">
        <v>118.1</v>
      </c>
      <c r="E208">
        <v>124.65</v>
      </c>
      <c r="F208" s="2">
        <v>392925500</v>
      </c>
    </row>
    <row r="209" spans="1:6" x14ac:dyDescent="0.4">
      <c r="A209" s="1">
        <v>45688</v>
      </c>
      <c r="B209">
        <v>123.78</v>
      </c>
      <c r="C209">
        <v>127.85</v>
      </c>
      <c r="D209">
        <v>119.19</v>
      </c>
      <c r="E209">
        <v>120.07</v>
      </c>
      <c r="F209" s="2">
        <v>390372906</v>
      </c>
    </row>
    <row r="210" spans="1:6" x14ac:dyDescent="0.4">
      <c r="A210" s="1">
        <v>45691</v>
      </c>
      <c r="B210">
        <v>114.75</v>
      </c>
      <c r="C210">
        <v>118.57</v>
      </c>
      <c r="D210">
        <v>113.01</v>
      </c>
      <c r="E210">
        <v>116.66</v>
      </c>
      <c r="F210" s="2">
        <v>371235719</v>
      </c>
    </row>
    <row r="211" spans="1:6" x14ac:dyDescent="0.4">
      <c r="A211" s="1">
        <v>45692</v>
      </c>
      <c r="B211">
        <v>116.96</v>
      </c>
      <c r="C211">
        <v>121.2</v>
      </c>
      <c r="D211">
        <v>116.7</v>
      </c>
      <c r="E211">
        <v>118.65</v>
      </c>
      <c r="F211" s="2">
        <v>256550000</v>
      </c>
    </row>
    <row r="212" spans="1:6" x14ac:dyDescent="0.4">
      <c r="A212" s="1">
        <v>45693</v>
      </c>
      <c r="B212">
        <v>121.76</v>
      </c>
      <c r="C212">
        <v>125</v>
      </c>
      <c r="D212">
        <v>120.76</v>
      </c>
      <c r="E212">
        <v>124.83</v>
      </c>
      <c r="F212" s="2">
        <v>263110594</v>
      </c>
    </row>
    <row r="213" spans="1:6" x14ac:dyDescent="0.4">
      <c r="A213" s="1">
        <v>45694</v>
      </c>
      <c r="B213">
        <v>127.42</v>
      </c>
      <c r="C213">
        <v>128.77000000000001</v>
      </c>
      <c r="D213">
        <v>125.21</v>
      </c>
      <c r="E213">
        <v>128.68</v>
      </c>
      <c r="F213" s="2">
        <v>251483594</v>
      </c>
    </row>
    <row r="214" spans="1:6" x14ac:dyDescent="0.4">
      <c r="A214" s="1">
        <v>45695</v>
      </c>
      <c r="B214">
        <v>129.22</v>
      </c>
      <c r="C214">
        <v>130.37</v>
      </c>
      <c r="D214">
        <v>125</v>
      </c>
      <c r="E214">
        <v>129.84</v>
      </c>
      <c r="F214" s="2">
        <v>228186297</v>
      </c>
    </row>
    <row r="215" spans="1:6" x14ac:dyDescent="0.4">
      <c r="A215" s="1">
        <v>45698</v>
      </c>
      <c r="B215">
        <v>130.09</v>
      </c>
      <c r="C215">
        <v>135</v>
      </c>
      <c r="D215">
        <v>129.96</v>
      </c>
      <c r="E215">
        <v>133.57</v>
      </c>
      <c r="F215" s="2">
        <v>216989109</v>
      </c>
    </row>
    <row r="216" spans="1:6" x14ac:dyDescent="0.4">
      <c r="A216" s="1">
        <v>45699</v>
      </c>
      <c r="B216">
        <v>132.58000000000001</v>
      </c>
      <c r="C216">
        <v>134.47999999999999</v>
      </c>
      <c r="D216">
        <v>131.02000000000001</v>
      </c>
      <c r="E216">
        <v>132.80000000000001</v>
      </c>
      <c r="F216" s="2">
        <v>178902406</v>
      </c>
    </row>
    <row r="217" spans="1:6" x14ac:dyDescent="0.4">
      <c r="A217" s="1">
        <v>45700</v>
      </c>
      <c r="B217">
        <v>130.02000000000001</v>
      </c>
      <c r="C217">
        <v>132.24</v>
      </c>
      <c r="D217">
        <v>129.08000000000001</v>
      </c>
      <c r="E217">
        <v>131.13999999999999</v>
      </c>
      <c r="F217" s="2">
        <v>160278594</v>
      </c>
    </row>
    <row r="218" spans="1:6" x14ac:dyDescent="0.4">
      <c r="A218" s="1">
        <v>45701</v>
      </c>
      <c r="B218">
        <v>131.56</v>
      </c>
      <c r="C218">
        <v>136.5</v>
      </c>
      <c r="D218">
        <v>131.16999999999999</v>
      </c>
      <c r="E218">
        <v>135.29</v>
      </c>
      <c r="F218" s="2">
        <v>197430000</v>
      </c>
    </row>
    <row r="219" spans="1:6" x14ac:dyDescent="0.4">
      <c r="A219" s="1">
        <v>45702</v>
      </c>
      <c r="B219">
        <v>136.47999999999999</v>
      </c>
      <c r="C219">
        <v>139.25</v>
      </c>
      <c r="D219">
        <v>135.5</v>
      </c>
      <c r="E219">
        <v>138.85</v>
      </c>
      <c r="F219" s="2">
        <v>195479594</v>
      </c>
    </row>
    <row r="220" spans="1:6" x14ac:dyDescent="0.4">
      <c r="A220" s="1">
        <v>45706</v>
      </c>
      <c r="B220">
        <v>141.27000000000001</v>
      </c>
      <c r="C220">
        <v>143.44</v>
      </c>
      <c r="D220">
        <v>137.93</v>
      </c>
      <c r="E220">
        <v>139.4</v>
      </c>
      <c r="F220" s="2">
        <v>219176609</v>
      </c>
    </row>
    <row r="221" spans="1:6" x14ac:dyDescent="0.4">
      <c r="A221" s="1">
        <v>45707</v>
      </c>
      <c r="B221">
        <v>139.51</v>
      </c>
      <c r="C221">
        <v>141.36000000000001</v>
      </c>
      <c r="D221">
        <v>137.22</v>
      </c>
      <c r="E221">
        <v>139.22999999999999</v>
      </c>
      <c r="F221" s="2">
        <v>167536000</v>
      </c>
    </row>
    <row r="222" spans="1:6" x14ac:dyDescent="0.4">
      <c r="A222" s="1">
        <v>45708</v>
      </c>
      <c r="B222">
        <v>140.03</v>
      </c>
      <c r="C222">
        <v>140.66</v>
      </c>
      <c r="D222">
        <v>136.79</v>
      </c>
      <c r="E222">
        <v>140.11000000000001</v>
      </c>
      <c r="F222" s="2">
        <v>143903594</v>
      </c>
    </row>
    <row r="223" spans="1:6" x14ac:dyDescent="0.4">
      <c r="A223" s="1">
        <v>45709</v>
      </c>
      <c r="B223">
        <v>140.04</v>
      </c>
      <c r="C223">
        <v>141.46</v>
      </c>
      <c r="D223">
        <v>134.03</v>
      </c>
      <c r="E223">
        <v>134.43</v>
      </c>
      <c r="F223" s="2">
        <v>228217594</v>
      </c>
    </row>
    <row r="224" spans="1:6" x14ac:dyDescent="0.4">
      <c r="A224" s="1">
        <v>45712</v>
      </c>
      <c r="B224">
        <v>136.56</v>
      </c>
      <c r="C224">
        <v>138.59</v>
      </c>
      <c r="D224">
        <v>130.08000000000001</v>
      </c>
      <c r="E224">
        <v>130.28</v>
      </c>
      <c r="F224" s="2">
        <v>251381109</v>
      </c>
    </row>
    <row r="225" spans="1:6" x14ac:dyDescent="0.4">
      <c r="A225" s="1">
        <v>45713</v>
      </c>
      <c r="B225">
        <v>129.97999999999999</v>
      </c>
      <c r="C225">
        <v>130.19999999999999</v>
      </c>
      <c r="D225">
        <v>124.44</v>
      </c>
      <c r="E225">
        <v>126.63</v>
      </c>
      <c r="F225" s="2">
        <v>271428719</v>
      </c>
    </row>
    <row r="226" spans="1:6" x14ac:dyDescent="0.4">
      <c r="A226" s="1">
        <v>45714</v>
      </c>
      <c r="B226">
        <v>129.99</v>
      </c>
      <c r="C226">
        <v>133.72999999999999</v>
      </c>
      <c r="D226">
        <v>128.49</v>
      </c>
      <c r="E226">
        <v>131.28</v>
      </c>
      <c r="F226" s="2">
        <v>322553781</v>
      </c>
    </row>
    <row r="227" spans="1:6" x14ac:dyDescent="0.4">
      <c r="A227" s="1">
        <v>45715</v>
      </c>
      <c r="B227">
        <v>135</v>
      </c>
      <c r="C227">
        <v>135.01</v>
      </c>
      <c r="D227">
        <v>120.01</v>
      </c>
      <c r="E227">
        <v>120.15</v>
      </c>
      <c r="F227" s="2">
        <v>443175812</v>
      </c>
    </row>
    <row r="228" spans="1:6" x14ac:dyDescent="0.4">
      <c r="A228" s="1">
        <v>45716</v>
      </c>
      <c r="B228">
        <v>118.02</v>
      </c>
      <c r="C228">
        <v>125.09</v>
      </c>
      <c r="D228">
        <v>116.4</v>
      </c>
      <c r="E228">
        <v>124.92</v>
      </c>
      <c r="F228" s="2">
        <v>389091094</v>
      </c>
    </row>
    <row r="229" spans="1:6" x14ac:dyDescent="0.4">
      <c r="A229" s="1">
        <v>45719</v>
      </c>
      <c r="B229">
        <v>123.51</v>
      </c>
      <c r="C229">
        <v>123.7</v>
      </c>
      <c r="D229">
        <v>112.28</v>
      </c>
      <c r="E229">
        <v>114.06</v>
      </c>
      <c r="F229" s="2">
        <v>411381406</v>
      </c>
    </row>
    <row r="230" spans="1:6" x14ac:dyDescent="0.4">
      <c r="A230" s="1">
        <v>45720</v>
      </c>
      <c r="B230">
        <v>110.65</v>
      </c>
      <c r="C230">
        <v>119.31</v>
      </c>
      <c r="D230">
        <v>110.11</v>
      </c>
      <c r="E230">
        <v>115.99</v>
      </c>
      <c r="F230" s="2">
        <v>398163281</v>
      </c>
    </row>
    <row r="231" spans="1:6" x14ac:dyDescent="0.4">
      <c r="A231" s="1">
        <v>45721</v>
      </c>
      <c r="B231">
        <v>117.58</v>
      </c>
      <c r="C231">
        <v>118.28</v>
      </c>
      <c r="D231">
        <v>114.51</v>
      </c>
      <c r="E231">
        <v>117.3</v>
      </c>
      <c r="F231" s="2">
        <v>284337875</v>
      </c>
    </row>
    <row r="232" spans="1:6" x14ac:dyDescent="0.4">
      <c r="A232" s="1">
        <v>45722</v>
      </c>
      <c r="B232">
        <v>113.53</v>
      </c>
      <c r="C232">
        <v>115.35</v>
      </c>
      <c r="D232">
        <v>110.22</v>
      </c>
      <c r="E232">
        <v>110.57</v>
      </c>
      <c r="F232" s="2">
        <v>321181875</v>
      </c>
    </row>
    <row r="233" spans="1:6" x14ac:dyDescent="0.4">
      <c r="A233" s="1">
        <v>45723</v>
      </c>
      <c r="B233">
        <v>111.25</v>
      </c>
      <c r="C233">
        <v>113.48</v>
      </c>
      <c r="D233">
        <v>107.56</v>
      </c>
      <c r="E233">
        <v>112.69</v>
      </c>
      <c r="F233" s="2">
        <v>341755500</v>
      </c>
    </row>
    <row r="234" spans="1:6" x14ac:dyDescent="0.4">
      <c r="A234" s="1">
        <v>45726</v>
      </c>
      <c r="B234">
        <v>109.9</v>
      </c>
      <c r="C234">
        <v>111.85</v>
      </c>
      <c r="D234">
        <v>105.46</v>
      </c>
      <c r="E234">
        <v>106.98</v>
      </c>
      <c r="F234" s="2">
        <v>366487406</v>
      </c>
    </row>
    <row r="235" spans="1:6" x14ac:dyDescent="0.4">
      <c r="A235" s="1">
        <v>45727</v>
      </c>
      <c r="B235">
        <v>106.99</v>
      </c>
      <c r="C235">
        <v>112.24</v>
      </c>
      <c r="D235">
        <v>104.77</v>
      </c>
      <c r="E235">
        <v>108.76</v>
      </c>
      <c r="F235" s="2">
        <v>354865688</v>
      </c>
    </row>
    <row r="236" spans="1:6" x14ac:dyDescent="0.4">
      <c r="A236" s="1">
        <v>45728</v>
      </c>
      <c r="B236">
        <v>114.12</v>
      </c>
      <c r="C236">
        <v>116.76</v>
      </c>
      <c r="D236">
        <v>112.88</v>
      </c>
      <c r="E236">
        <v>115.74</v>
      </c>
      <c r="F236" s="2">
        <v>323857500</v>
      </c>
    </row>
    <row r="237" spans="1:6" x14ac:dyDescent="0.4">
      <c r="A237" s="1">
        <v>45729</v>
      </c>
      <c r="B237">
        <v>117.03</v>
      </c>
      <c r="C237">
        <v>117.76</v>
      </c>
      <c r="D237">
        <v>113.79</v>
      </c>
      <c r="E237">
        <v>115.58</v>
      </c>
      <c r="F237" s="2">
        <v>299033094</v>
      </c>
    </row>
    <row r="238" spans="1:6" x14ac:dyDescent="0.4">
      <c r="A238" s="1">
        <v>45730</v>
      </c>
      <c r="B238">
        <v>118.61</v>
      </c>
      <c r="C238">
        <v>121.88</v>
      </c>
      <c r="D238">
        <v>118.15</v>
      </c>
      <c r="E238">
        <v>121.67</v>
      </c>
      <c r="F238" s="2">
        <v>277593500</v>
      </c>
    </row>
    <row r="239" spans="1:6" x14ac:dyDescent="0.4">
      <c r="A239" s="1">
        <v>45733</v>
      </c>
      <c r="B239">
        <v>122.74</v>
      </c>
      <c r="C239">
        <v>122.89</v>
      </c>
      <c r="D239">
        <v>118.03</v>
      </c>
      <c r="E239">
        <v>119.53</v>
      </c>
      <c r="F239" s="2">
        <v>255501500</v>
      </c>
    </row>
    <row r="240" spans="1:6" x14ac:dyDescent="0.4">
      <c r="A240" s="1">
        <v>45734</v>
      </c>
      <c r="B240">
        <v>118</v>
      </c>
      <c r="C240">
        <v>119.02</v>
      </c>
      <c r="D240">
        <v>114.54</v>
      </c>
      <c r="E240">
        <v>115.43</v>
      </c>
      <c r="F240" s="2">
        <v>299686906</v>
      </c>
    </row>
    <row r="241" spans="1:6" x14ac:dyDescent="0.4">
      <c r="A241" s="1">
        <v>45735</v>
      </c>
      <c r="B241">
        <v>117.27</v>
      </c>
      <c r="C241">
        <v>120.45</v>
      </c>
      <c r="D241">
        <v>115.68</v>
      </c>
      <c r="E241">
        <v>117.52</v>
      </c>
      <c r="F241" s="2">
        <v>273426219</v>
      </c>
    </row>
    <row r="242" spans="1:6" x14ac:dyDescent="0.4">
      <c r="A242" s="1">
        <v>45736</v>
      </c>
      <c r="B242">
        <v>116.55</v>
      </c>
      <c r="C242">
        <v>120.2</v>
      </c>
      <c r="D242">
        <v>116.47</v>
      </c>
      <c r="E242">
        <v>118.53</v>
      </c>
      <c r="F242" s="2">
        <v>248829703</v>
      </c>
    </row>
    <row r="243" spans="1:6" x14ac:dyDescent="0.4">
      <c r="A243" s="1">
        <v>45737</v>
      </c>
      <c r="B243">
        <v>116.94</v>
      </c>
      <c r="C243">
        <v>117.99</v>
      </c>
      <c r="D243">
        <v>115.42</v>
      </c>
      <c r="E243">
        <v>117.7</v>
      </c>
      <c r="F243" s="2">
        <v>266498500</v>
      </c>
    </row>
    <row r="244" spans="1:6" x14ac:dyDescent="0.4">
      <c r="A244" s="1">
        <v>45740</v>
      </c>
      <c r="B244">
        <v>119.88</v>
      </c>
      <c r="C244">
        <v>122.22</v>
      </c>
      <c r="D244">
        <v>119.34</v>
      </c>
      <c r="E244">
        <v>121.41</v>
      </c>
      <c r="F244" s="2">
        <v>228452500</v>
      </c>
    </row>
    <row r="245" spans="1:6" x14ac:dyDescent="0.4">
      <c r="A245" s="1">
        <v>45741</v>
      </c>
      <c r="B245">
        <v>120.55</v>
      </c>
      <c r="C245">
        <v>121.29</v>
      </c>
      <c r="D245">
        <v>118.92</v>
      </c>
      <c r="E245">
        <v>120.69</v>
      </c>
      <c r="F245" s="2">
        <v>167447203</v>
      </c>
    </row>
    <row r="246" spans="1:6" x14ac:dyDescent="0.4">
      <c r="A246" s="1">
        <v>45742</v>
      </c>
      <c r="B246">
        <v>118.73</v>
      </c>
      <c r="C246">
        <v>118.84</v>
      </c>
      <c r="D246">
        <v>112.71</v>
      </c>
      <c r="E246">
        <v>113.76</v>
      </c>
      <c r="F246" s="2">
        <v>296431719</v>
      </c>
    </row>
    <row r="247" spans="1:6" x14ac:dyDescent="0.4">
      <c r="A247" s="1">
        <v>45743</v>
      </c>
      <c r="B247">
        <v>111.35</v>
      </c>
      <c r="C247">
        <v>114.45</v>
      </c>
      <c r="D247">
        <v>110.66</v>
      </c>
      <c r="E247">
        <v>111.43</v>
      </c>
      <c r="F247" s="2">
        <v>236902094</v>
      </c>
    </row>
    <row r="248" spans="1:6" x14ac:dyDescent="0.4">
      <c r="A248" s="1">
        <v>45744</v>
      </c>
      <c r="B248">
        <v>111.49</v>
      </c>
      <c r="C248">
        <v>112.87</v>
      </c>
      <c r="D248">
        <v>109.07</v>
      </c>
      <c r="E248">
        <v>109.67</v>
      </c>
      <c r="F248" s="2">
        <v>229872500</v>
      </c>
    </row>
    <row r="249" spans="1:6" x14ac:dyDescent="0.4">
      <c r="A249" s="1">
        <v>45747</v>
      </c>
      <c r="B249">
        <v>105.13</v>
      </c>
      <c r="C249">
        <v>110.96</v>
      </c>
      <c r="D249">
        <v>103.65</v>
      </c>
      <c r="E249">
        <v>108.38</v>
      </c>
      <c r="F249" s="2">
        <v>299212719</v>
      </c>
    </row>
    <row r="250" spans="1:6" x14ac:dyDescent="0.4">
      <c r="A250" s="1">
        <v>45748</v>
      </c>
      <c r="B250">
        <v>108.52</v>
      </c>
      <c r="C250">
        <v>110.2</v>
      </c>
      <c r="D250">
        <v>106.47</v>
      </c>
      <c r="E250">
        <v>110.15</v>
      </c>
      <c r="F250" s="2">
        <v>222614000</v>
      </c>
    </row>
    <row r="251" spans="1:6" x14ac:dyDescent="0.4">
      <c r="A251" s="1">
        <v>45749</v>
      </c>
      <c r="B251">
        <v>107.29</v>
      </c>
      <c r="C251">
        <v>111.98</v>
      </c>
      <c r="D251">
        <v>106.79</v>
      </c>
      <c r="E251">
        <v>110.42</v>
      </c>
      <c r="F251" s="2">
        <v>220601203</v>
      </c>
    </row>
    <row r="252" spans="1:6" x14ac:dyDescent="0.4">
      <c r="A252" s="1">
        <v>45750</v>
      </c>
      <c r="B252">
        <v>103.51</v>
      </c>
      <c r="C252">
        <v>105.63</v>
      </c>
      <c r="D252">
        <v>101.6</v>
      </c>
      <c r="E252">
        <v>101.8</v>
      </c>
      <c r="F252" s="2">
        <v>338769406</v>
      </c>
    </row>
    <row r="253" spans="1:6" x14ac:dyDescent="0.4">
      <c r="A253" s="1">
        <v>45751</v>
      </c>
      <c r="B253">
        <v>98.89</v>
      </c>
      <c r="C253">
        <v>100.13</v>
      </c>
      <c r="D253">
        <v>92.11</v>
      </c>
      <c r="E253">
        <v>94.31</v>
      </c>
      <c r="F253" s="2">
        <v>526735000</v>
      </c>
    </row>
  </sheetData>
  <sortState xmlns:xlrd2="http://schemas.microsoft.com/office/spreadsheetml/2017/richdata2" ref="A2:F256">
    <sortCondition ref="A2:A256"/>
  </sortState>
  <phoneticPr fontId="1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3F7D-5F2A-D244-A94E-07C95E060E8C}">
  <dimension ref="A1:A252"/>
  <sheetViews>
    <sheetView zoomScale="49" zoomScaleNormal="40" workbookViewId="0">
      <selection sqref="A1:A1048576"/>
    </sheetView>
  </sheetViews>
  <sheetFormatPr defaultColWidth="10.8203125" defaultRowHeight="15" x14ac:dyDescent="0.4"/>
  <sheetData>
    <row r="1" spans="1:1" x14ac:dyDescent="0.4">
      <c r="A1" t="s">
        <v>6</v>
      </c>
    </row>
    <row r="2" spans="1:1" x14ac:dyDescent="0.4">
      <c r="A2">
        <f>LN('Download Data - STOCK_US_XNAS_N'!E3/'Download Data - STOCK_US_XNAS_N'!E2)</f>
        <v>2.41502077357553E-2</v>
      </c>
    </row>
    <row r="3" spans="1:1" x14ac:dyDescent="0.4">
      <c r="A3">
        <f>LN('Download Data - STOCK_US_XNAS_N'!E4/'Download Data - STOCK_US_XNAS_N'!E3)</f>
        <v>-1.0049188142525025E-2</v>
      </c>
    </row>
    <row r="4" spans="1:1" x14ac:dyDescent="0.4">
      <c r="A4">
        <f>LN('Download Data - STOCK_US_XNAS_N'!E5/'Download Data - STOCK_US_XNAS_N'!E4)</f>
        <v>-2.0640807002745874E-2</v>
      </c>
    </row>
    <row r="5" spans="1:1" x14ac:dyDescent="0.4">
      <c r="A5">
        <f>LN('Download Data - STOCK_US_XNAS_N'!E6/'Download Data - STOCK_US_XNAS_N'!E5)</f>
        <v>1.9607333867182976E-2</v>
      </c>
    </row>
    <row r="6" spans="1:1" x14ac:dyDescent="0.4">
      <c r="A6">
        <f>LN('Download Data - STOCK_US_XNAS_N'!E7/'Download Data - STOCK_US_XNAS_N'!E6)</f>
        <v>4.0307156131359545E-2</v>
      </c>
    </row>
    <row r="7" spans="1:1" x14ac:dyDescent="0.4">
      <c r="A7">
        <f>LN('Download Data - STOCK_US_XNAS_N'!E8/'Download Data - STOCK_US_XNAS_N'!E7)</f>
        <v>-2.7181361338902834E-2</v>
      </c>
    </row>
    <row r="8" spans="1:1" x14ac:dyDescent="0.4">
      <c r="A8">
        <f>LN('Download Data - STOCK_US_XNAS_N'!E9/'Download Data - STOCK_US_XNAS_N'!E8)</f>
        <v>-2.5146281646581704E-2</v>
      </c>
    </row>
    <row r="9" spans="1:1" x14ac:dyDescent="0.4">
      <c r="A9">
        <f>LN('Download Data - STOCK_US_XNAS_N'!E10/'Download Data - STOCK_US_XNAS_N'!E9)</f>
        <v>1.6376793181660788E-2</v>
      </c>
    </row>
    <row r="10" spans="1:1" x14ac:dyDescent="0.4">
      <c r="A10">
        <f>LN('Download Data - STOCK_US_XNAS_N'!E11/'Download Data - STOCK_US_XNAS_N'!E10)</f>
        <v>-3.9431213458368704E-2</v>
      </c>
    </row>
    <row r="11" spans="1:1" x14ac:dyDescent="0.4">
      <c r="A11">
        <f>LN('Download Data - STOCK_US_XNAS_N'!E12/'Download Data - STOCK_US_XNAS_N'!E11)</f>
        <v>7.4684716773862157E-3</v>
      </c>
    </row>
    <row r="12" spans="1:1" x14ac:dyDescent="0.4">
      <c r="A12">
        <f>LN('Download Data - STOCK_US_XNAS_N'!E13/'Download Data - STOCK_US_XNAS_N'!E12)</f>
        <v>-0.10539988496158519</v>
      </c>
    </row>
    <row r="13" spans="1:1" x14ac:dyDescent="0.4">
      <c r="A13">
        <f>LN('Download Data - STOCK_US_XNAS_N'!E14/'Download Data - STOCK_US_XNAS_N'!E13)</f>
        <v>4.2647099655717835E-2</v>
      </c>
    </row>
    <row r="14" spans="1:1" x14ac:dyDescent="0.4">
      <c r="A14">
        <f>LN('Download Data - STOCK_US_XNAS_N'!E15/'Download Data - STOCK_US_XNAS_N'!E14)</f>
        <v>3.5819563562352781E-2</v>
      </c>
    </row>
    <row r="15" spans="1:1" x14ac:dyDescent="0.4">
      <c r="A15">
        <f>LN('Download Data - STOCK_US_XNAS_N'!E16/'Download Data - STOCK_US_XNAS_N'!E15)</f>
        <v>-3.3809512634328444E-2</v>
      </c>
    </row>
    <row r="16" spans="1:1" x14ac:dyDescent="0.4">
      <c r="A16">
        <f>LN('Download Data - STOCK_US_XNAS_N'!E17/'Download Data - STOCK_US_XNAS_N'!E16)</f>
        <v>3.6354197436750162E-2</v>
      </c>
    </row>
    <row r="17" spans="1:1" x14ac:dyDescent="0.4">
      <c r="A17">
        <f>LN('Download Data - STOCK_US_XNAS_N'!E18/'Download Data - STOCK_US_XNAS_N'!E17)</f>
        <v>6.0005085024974966E-2</v>
      </c>
    </row>
    <row r="18" spans="1:1" x14ac:dyDescent="0.4">
      <c r="A18">
        <f>LN('Download Data - STOCK_US_XNAS_N'!E19/'Download Data - STOCK_US_XNAS_N'!E18)</f>
        <v>2.2792022890710147E-4</v>
      </c>
    </row>
    <row r="19" spans="1:1" x14ac:dyDescent="0.4">
      <c r="A19">
        <f>LN('Download Data - STOCK_US_XNAS_N'!E20/'Download Data - STOCK_US_XNAS_N'!E19)</f>
        <v>-1.5618140156964883E-2</v>
      </c>
    </row>
    <row r="20" spans="1:1" x14ac:dyDescent="0.4">
      <c r="A20">
        <f>LN('Download Data - STOCK_US_XNAS_N'!E21/'Download Data - STOCK_US_XNAS_N'!E20)</f>
        <v>-3.9665256392431403E-2</v>
      </c>
    </row>
    <row r="21" spans="1:1" x14ac:dyDescent="0.4">
      <c r="A21">
        <f>LN('Download Data - STOCK_US_XNAS_N'!E22/'Download Data - STOCK_US_XNAS_N'!E21)</f>
        <v>3.2929660145800087E-2</v>
      </c>
    </row>
    <row r="22" spans="1:1" x14ac:dyDescent="0.4">
      <c r="A22">
        <f>LN('Download Data - STOCK_US_XNAS_N'!E23/'Download Data - STOCK_US_XNAS_N'!E22)</f>
        <v>3.4021951480856932E-2</v>
      </c>
    </row>
    <row r="23" spans="1:1" x14ac:dyDescent="0.4">
      <c r="A23">
        <f>LN('Download Data - STOCK_US_XNAS_N'!E24/'Download Data - STOCK_US_XNAS_N'!E23)</f>
        <v>3.7035128463535398E-2</v>
      </c>
    </row>
    <row r="24" spans="1:1" x14ac:dyDescent="0.4">
      <c r="A24">
        <f>LN('Download Data - STOCK_US_XNAS_N'!E25/'Download Data - STOCK_US_XNAS_N'!E24)</f>
        <v>-1.7406975178348535E-2</v>
      </c>
    </row>
    <row r="25" spans="1:1" x14ac:dyDescent="0.4">
      <c r="A25">
        <f>LN('Download Data - STOCK_US_XNAS_N'!E26/'Download Data - STOCK_US_XNAS_N'!E25)</f>
        <v>-1.5473035801473439E-3</v>
      </c>
    </row>
    <row r="26" spans="1:1" x14ac:dyDescent="0.4">
      <c r="A26">
        <f>LN('Download Data - STOCK_US_XNAS_N'!E27/'Download Data - STOCK_US_XNAS_N'!E26)</f>
        <v>-1.8531452393749839E-2</v>
      </c>
    </row>
    <row r="27" spans="1:1" x14ac:dyDescent="0.4">
      <c r="A27">
        <f>LN('Download Data - STOCK_US_XNAS_N'!E28/'Download Data - STOCK_US_XNAS_N'!E27)</f>
        <v>1.2652018961603279E-2</v>
      </c>
    </row>
    <row r="28" spans="1:1" x14ac:dyDescent="0.4">
      <c r="A28">
        <f>LN('Download Data - STOCK_US_XNAS_N'!E29/'Download Data - STOCK_US_XNAS_N'!E28)</f>
        <v>5.7688200810025346E-3</v>
      </c>
    </row>
    <row r="29" spans="1:1" x14ac:dyDescent="0.4">
      <c r="A29">
        <f>LN('Download Data - STOCK_US_XNAS_N'!E30/'Download Data - STOCK_US_XNAS_N'!E29)</f>
        <v>1.0563478509569246E-2</v>
      </c>
    </row>
    <row r="30" spans="1:1" x14ac:dyDescent="0.4">
      <c r="A30">
        <f>LN('Download Data - STOCK_US_XNAS_N'!E31/'Download Data - STOCK_US_XNAS_N'!E30)</f>
        <v>3.5166804612441198E-2</v>
      </c>
    </row>
    <row r="31" spans="1:1" x14ac:dyDescent="0.4">
      <c r="A31">
        <f>LN('Download Data - STOCK_US_XNAS_N'!E32/'Download Data - STOCK_US_XNAS_N'!E31)</f>
        <v>-2.8572959806669506E-3</v>
      </c>
    </row>
    <row r="32" spans="1:1" x14ac:dyDescent="0.4">
      <c r="A32">
        <f>LN('Download Data - STOCK_US_XNAS_N'!E33/'Download Data - STOCK_US_XNAS_N'!E32)</f>
        <v>-2.0124849615406851E-2</v>
      </c>
    </row>
    <row r="33" spans="1:1" x14ac:dyDescent="0.4">
      <c r="A33">
        <f>LN('Download Data - STOCK_US_XNAS_N'!E34/'Download Data - STOCK_US_XNAS_N'!E33)</f>
        <v>2.456601161537485E-2</v>
      </c>
    </row>
    <row r="34" spans="1:1" x14ac:dyDescent="0.4">
      <c r="A34">
        <f>LN('Download Data - STOCK_US_XNAS_N'!E35/'Download Data - STOCK_US_XNAS_N'!E34)</f>
        <v>6.4153346176745478E-3</v>
      </c>
    </row>
    <row r="35" spans="1:1" x14ac:dyDescent="0.4">
      <c r="A35">
        <f>LN('Download Data - STOCK_US_XNAS_N'!E36/'Download Data - STOCK_US_XNAS_N'!E35)</f>
        <v>-4.62331389882179E-3</v>
      </c>
    </row>
    <row r="36" spans="1:1" x14ac:dyDescent="0.4">
      <c r="A36">
        <f>LN('Download Data - STOCK_US_XNAS_N'!E37/'Download Data - STOCK_US_XNAS_N'!E36)</f>
        <v>8.9115533473493408E-2</v>
      </c>
    </row>
    <row r="37" spans="1:1" x14ac:dyDescent="0.4">
      <c r="A37">
        <f>LN('Download Data - STOCK_US_XNAS_N'!E38/'Download Data - STOCK_US_XNAS_N'!E37)</f>
        <v>2.5397284594726528E-2</v>
      </c>
    </row>
    <row r="38" spans="1:1" x14ac:dyDescent="0.4">
      <c r="A38">
        <f>LN('Download Data - STOCK_US_XNAS_N'!E39/'Download Data - STOCK_US_XNAS_N'!E38)</f>
        <v>6.7457615126621795E-2</v>
      </c>
    </row>
    <row r="39" spans="1:1" x14ac:dyDescent="0.4">
      <c r="A39">
        <f>LN('Download Data - STOCK_US_XNAS_N'!E40/'Download Data - STOCK_US_XNAS_N'!E39)</f>
        <v>8.1319033349613878E-3</v>
      </c>
    </row>
    <row r="40" spans="1:1" x14ac:dyDescent="0.4">
      <c r="A40">
        <f>LN('Download Data - STOCK_US_XNAS_N'!E41/'Download Data - STOCK_US_XNAS_N'!E40)</f>
        <v>-3.8437252830290383E-2</v>
      </c>
    </row>
    <row r="41" spans="1:1" x14ac:dyDescent="0.4">
      <c r="A41">
        <f>LN('Download Data - STOCK_US_XNAS_N'!E42/'Download Data - STOCK_US_XNAS_N'!E41)</f>
        <v>-7.9044612713588917E-3</v>
      </c>
    </row>
    <row r="42" spans="1:1" x14ac:dyDescent="0.4">
      <c r="A42">
        <f>LN('Download Data - STOCK_US_XNAS_N'!E43/'Download Data - STOCK_US_XNAS_N'!E42)</f>
        <v>4.7821068676801554E-2</v>
      </c>
    </row>
    <row r="43" spans="1:1" x14ac:dyDescent="0.4">
      <c r="A43">
        <f>LN('Download Data - STOCK_US_XNAS_N'!E44/'Download Data - STOCK_US_XNAS_N'!E43)</f>
        <v>1.2443990514172488E-2</v>
      </c>
    </row>
    <row r="44" spans="1:1" x14ac:dyDescent="0.4">
      <c r="A44">
        <f>LN('Download Data - STOCK_US_XNAS_N'!E45/'Download Data - STOCK_US_XNAS_N'!E44)</f>
        <v>5.0244995199789262E-2</v>
      </c>
    </row>
    <row r="45" spans="1:1" x14ac:dyDescent="0.4">
      <c r="A45">
        <f>LN('Download Data - STOCK_US_XNAS_N'!E46/'Download Data - STOCK_US_XNAS_N'!E45)</f>
        <v>-1.183056848047062E-2</v>
      </c>
    </row>
    <row r="46" spans="1:1" x14ac:dyDescent="0.4">
      <c r="A46">
        <f>LN('Download Data - STOCK_US_XNAS_N'!E47/'Download Data - STOCK_US_XNAS_N'!E46)</f>
        <v>-9.0950438284049986E-4</v>
      </c>
    </row>
    <row r="47" spans="1:1" x14ac:dyDescent="0.4">
      <c r="A47">
        <f>LN('Download Data - STOCK_US_XNAS_N'!E48/'Download Data - STOCK_US_XNAS_N'!E47)</f>
        <v>7.4172088851185859E-3</v>
      </c>
    </row>
    <row r="48" spans="1:1" x14ac:dyDescent="0.4">
      <c r="A48">
        <f>LN('Download Data - STOCK_US_XNAS_N'!E49/'Download Data - STOCK_US_XNAS_N'!E48)</f>
        <v>-7.2517829128638201E-3</v>
      </c>
    </row>
    <row r="49" spans="1:1" x14ac:dyDescent="0.4">
      <c r="A49">
        <f>LN('Download Data - STOCK_US_XNAS_N'!E50/'Download Data - STOCK_US_XNAS_N'!E49)</f>
        <v>3.486599147984281E-2</v>
      </c>
    </row>
    <row r="50" spans="1:1" x14ac:dyDescent="0.4">
      <c r="A50">
        <f>LN('Download Data - STOCK_US_XNAS_N'!E51/'Download Data - STOCK_US_XNAS_N'!E50)</f>
        <v>3.4617482769285633E-2</v>
      </c>
    </row>
    <row r="51" spans="1:1" x14ac:dyDescent="0.4">
      <c r="A51">
        <f>LN('Download Data - STOCK_US_XNAS_N'!E52/'Download Data - STOCK_US_XNAS_N'!E51)</f>
        <v>1.7362476768246544E-2</v>
      </c>
    </row>
    <row r="52" spans="1:1" x14ac:dyDescent="0.4">
      <c r="A52">
        <f>LN('Download Data - STOCK_US_XNAS_N'!E53/'Download Data - STOCK_US_XNAS_N'!E52)</f>
        <v>-6.8477784136228076E-3</v>
      </c>
    </row>
    <row r="53" spans="1:1" x14ac:dyDescent="0.4">
      <c r="A53">
        <f>LN('Download Data - STOCK_US_XNAS_N'!E54/'Download Data - STOCK_US_XNAS_N'!E53)</f>
        <v>3.4517232212912273E-2</v>
      </c>
    </row>
    <row r="54" spans="1:1" x14ac:dyDescent="0.4">
      <c r="A54">
        <f>LN('Download Data - STOCK_US_XNAS_N'!E55/'Download Data - STOCK_US_XNAS_N'!E54)</f>
        <v>-3.6045349869689741E-2</v>
      </c>
    </row>
    <row r="55" spans="1:1" x14ac:dyDescent="0.4">
      <c r="A55">
        <f>LN('Download Data - STOCK_US_XNAS_N'!E56/'Download Data - STOCK_US_XNAS_N'!E55)</f>
        <v>-3.2721007328772991E-2</v>
      </c>
    </row>
    <row r="56" spans="1:1" x14ac:dyDescent="0.4">
      <c r="A56">
        <f>LN('Download Data - STOCK_US_XNAS_N'!E57/'Download Data - STOCK_US_XNAS_N'!E56)</f>
        <v>-6.9179121180601127E-2</v>
      </c>
    </row>
    <row r="57" spans="1:1" x14ac:dyDescent="0.4">
      <c r="A57">
        <f>LN('Download Data - STOCK_US_XNAS_N'!E58/'Download Data - STOCK_US_XNAS_N'!E57)</f>
        <v>6.5379544061379219E-2</v>
      </c>
    </row>
    <row r="58" spans="1:1" x14ac:dyDescent="0.4">
      <c r="A58">
        <f>LN('Download Data - STOCK_US_XNAS_N'!E59/'Download Data - STOCK_US_XNAS_N'!E58)</f>
        <v>2.4555440276219911E-3</v>
      </c>
    </row>
    <row r="59" spans="1:1" x14ac:dyDescent="0.4">
      <c r="A59">
        <f>LN('Download Data - STOCK_US_XNAS_N'!E60/'Download Data - STOCK_US_XNAS_N'!E59)</f>
        <v>-1.9250564521006413E-2</v>
      </c>
    </row>
    <row r="60" spans="1:1" x14ac:dyDescent="0.4">
      <c r="A60">
        <f>LN('Download Data - STOCK_US_XNAS_N'!E61/'Download Data - STOCK_US_XNAS_N'!E60)</f>
        <v>-3.6359269239974838E-3</v>
      </c>
    </row>
    <row r="61" spans="1:1" x14ac:dyDescent="0.4">
      <c r="A61">
        <f>LN('Download Data - STOCK_US_XNAS_N'!E62/'Download Data - STOCK_US_XNAS_N'!E61)</f>
        <v>6.1330082489121848E-3</v>
      </c>
    </row>
    <row r="62" spans="1:1" x14ac:dyDescent="0.4">
      <c r="A62">
        <f>LN('Download Data - STOCK_US_XNAS_N'!E63/'Download Data - STOCK_US_XNAS_N'!E62)</f>
        <v>-1.3200175472004753E-2</v>
      </c>
    </row>
    <row r="63" spans="1:1" x14ac:dyDescent="0.4">
      <c r="A63">
        <f>LN('Download Data - STOCK_US_XNAS_N'!E64/'Download Data - STOCK_US_XNAS_N'!E63)</f>
        <v>4.4717551780293567E-2</v>
      </c>
    </row>
    <row r="64" spans="1:1" x14ac:dyDescent="0.4">
      <c r="A64">
        <f>LN('Download Data - STOCK_US_XNAS_N'!E65/'Download Data - STOCK_US_XNAS_N'!E64)</f>
        <v>-1.9283585221077631E-2</v>
      </c>
    </row>
    <row r="65" spans="1:1" x14ac:dyDescent="0.4">
      <c r="A65">
        <f>LN('Download Data - STOCK_US_XNAS_N'!E66/'Download Data - STOCK_US_XNAS_N'!E65)</f>
        <v>1.8659754882693017E-2</v>
      </c>
    </row>
    <row r="66" spans="1:1" x14ac:dyDescent="0.4">
      <c r="A66">
        <f>LN('Download Data - STOCK_US_XNAS_N'!E67/'Download Data - STOCK_US_XNAS_N'!E66)</f>
        <v>2.4502342977757247E-2</v>
      </c>
    </row>
    <row r="67" spans="1:1" x14ac:dyDescent="0.4">
      <c r="A67">
        <f>LN('Download Data - STOCK_US_XNAS_N'!E68/'Download Data - STOCK_US_XNAS_N'!E67)</f>
        <v>2.6514001986398836E-2</v>
      </c>
    </row>
    <row r="68" spans="1:1" x14ac:dyDescent="0.4">
      <c r="A68">
        <f>LN('Download Data - STOCK_US_XNAS_N'!E69/'Download Data - STOCK_US_XNAS_N'!E68)</f>
        <v>-5.7276146312662667E-2</v>
      </c>
    </row>
    <row r="69" spans="1:1" x14ac:dyDescent="0.4">
      <c r="A69">
        <f>LN('Download Data - STOCK_US_XNAS_N'!E70/'Download Data - STOCK_US_XNAS_N'!E69)</f>
        <v>1.4339397818234453E-2</v>
      </c>
    </row>
    <row r="70" spans="1:1" x14ac:dyDescent="0.4">
      <c r="A70">
        <f>LN('Download Data - STOCK_US_XNAS_N'!E71/'Download Data - STOCK_US_XNAS_N'!E70)</f>
        <v>-6.2092717349844411E-3</v>
      </c>
    </row>
    <row r="71" spans="1:1" x14ac:dyDescent="0.4">
      <c r="A71">
        <f>LN('Download Data - STOCK_US_XNAS_N'!E72/'Download Data - STOCK_US_XNAS_N'!E71)</f>
        <v>-1.6326893287428781E-2</v>
      </c>
    </row>
    <row r="72" spans="1:1" x14ac:dyDescent="0.4">
      <c r="A72">
        <f>LN('Download Data - STOCK_US_XNAS_N'!E73/'Download Data - STOCK_US_XNAS_N'!E72)</f>
        <v>-6.8535100822056577E-2</v>
      </c>
    </row>
    <row r="73" spans="1:1" x14ac:dyDescent="0.4">
      <c r="A73">
        <f>LN('Download Data - STOCK_US_XNAS_N'!E74/'Download Data - STOCK_US_XNAS_N'!E73)</f>
        <v>2.5934195654447028E-2</v>
      </c>
    </row>
    <row r="74" spans="1:1" x14ac:dyDescent="0.4">
      <c r="A74">
        <f>LN('Download Data - STOCK_US_XNAS_N'!E75/'Download Data - STOCK_US_XNAS_N'!E74)</f>
        <v>-2.644284266439623E-2</v>
      </c>
    </row>
    <row r="75" spans="1:1" x14ac:dyDescent="0.4">
      <c r="A75">
        <f>LN('Download Data - STOCK_US_XNAS_N'!E76/'Download Data - STOCK_US_XNAS_N'!E75)</f>
        <v>4.6473762165874448E-2</v>
      </c>
    </row>
    <row r="76" spans="1:1" x14ac:dyDescent="0.4">
      <c r="A76">
        <f>LN('Download Data - STOCK_US_XNAS_N'!E77/'Download Data - STOCK_US_XNAS_N'!E76)</f>
        <v>-7.7195361608502922E-3</v>
      </c>
    </row>
    <row r="77" spans="1:1" x14ac:dyDescent="0.4">
      <c r="A77">
        <f>LN('Download Data - STOCK_US_XNAS_N'!E78/'Download Data - STOCK_US_XNAS_N'!E77)</f>
        <v>-7.0456424332588821E-2</v>
      </c>
    </row>
    <row r="78" spans="1:1" x14ac:dyDescent="0.4">
      <c r="A78">
        <f>LN('Download Data - STOCK_US_XNAS_N'!E79/'Download Data - STOCK_US_XNAS_N'!E78)</f>
        <v>-1.7393278280632297E-2</v>
      </c>
    </row>
    <row r="79" spans="1:1" x14ac:dyDescent="0.4">
      <c r="A79">
        <f>LN('Download Data - STOCK_US_XNAS_N'!E80/'Download Data - STOCK_US_XNAS_N'!E79)</f>
        <v>6.9228997534629107E-3</v>
      </c>
    </row>
    <row r="80" spans="1:1" x14ac:dyDescent="0.4">
      <c r="A80">
        <f>LN('Download Data - STOCK_US_XNAS_N'!E81/'Download Data - STOCK_US_XNAS_N'!E80)</f>
        <v>-1.3087211049534848E-2</v>
      </c>
    </row>
    <row r="81" spans="1:1" x14ac:dyDescent="0.4">
      <c r="A81">
        <f>LN('Download Data - STOCK_US_XNAS_N'!E82/'Download Data - STOCK_US_XNAS_N'!E81)</f>
        <v>-7.3040070753873143E-2</v>
      </c>
    </row>
    <row r="82" spans="1:1" x14ac:dyDescent="0.4">
      <c r="A82">
        <f>LN('Download Data - STOCK_US_XNAS_N'!E83/'Download Data - STOCK_US_XNAS_N'!E82)</f>
        <v>0.12055349091635324</v>
      </c>
    </row>
    <row r="83" spans="1:1" x14ac:dyDescent="0.4">
      <c r="A83">
        <f>LN('Download Data - STOCK_US_XNAS_N'!E84/'Download Data - STOCK_US_XNAS_N'!E83)</f>
        <v>-6.9072226150453053E-2</v>
      </c>
    </row>
    <row r="84" spans="1:1" x14ac:dyDescent="0.4">
      <c r="A84">
        <f>LN('Download Data - STOCK_US_XNAS_N'!E85/'Download Data - STOCK_US_XNAS_N'!E84)</f>
        <v>-1.7923613600299107E-2</v>
      </c>
    </row>
    <row r="85" spans="1:1" x14ac:dyDescent="0.4">
      <c r="A85">
        <f>LN('Download Data - STOCK_US_XNAS_N'!E86/'Download Data - STOCK_US_XNAS_N'!E85)</f>
        <v>-6.5688929348394431E-2</v>
      </c>
    </row>
    <row r="86" spans="1:1" x14ac:dyDescent="0.4">
      <c r="A86">
        <f>LN('Download Data - STOCK_US_XNAS_N'!E87/'Download Data - STOCK_US_XNAS_N'!E86)</f>
        <v>3.7131769417967295E-2</v>
      </c>
    </row>
    <row r="87" spans="1:1" x14ac:dyDescent="0.4">
      <c r="A87">
        <f>LN('Download Data - STOCK_US_XNAS_N'!E88/'Download Data - STOCK_US_XNAS_N'!E87)</f>
        <v>-5.2581514927161482E-2</v>
      </c>
    </row>
    <row r="88" spans="1:1" x14ac:dyDescent="0.4">
      <c r="A88">
        <f>LN('Download Data - STOCK_US_XNAS_N'!E89/'Download Data - STOCK_US_XNAS_N'!E88)</f>
        <v>5.9464249295957082E-2</v>
      </c>
    </row>
    <row r="89" spans="1:1" x14ac:dyDescent="0.4">
      <c r="A89">
        <f>LN('Download Data - STOCK_US_XNAS_N'!E90/'Download Data - STOCK_US_XNAS_N'!E89)</f>
        <v>-2.0980362454592664E-3</v>
      </c>
    </row>
    <row r="90" spans="1:1" x14ac:dyDescent="0.4">
      <c r="A90">
        <f>LN('Download Data - STOCK_US_XNAS_N'!E91/'Download Data - STOCK_US_XNAS_N'!E90)</f>
        <v>3.9954792833887635E-2</v>
      </c>
    </row>
    <row r="91" spans="1:1" x14ac:dyDescent="0.4">
      <c r="A91">
        <f>LN('Download Data - STOCK_US_XNAS_N'!E92/'Download Data - STOCK_US_XNAS_N'!E91)</f>
        <v>6.3265008307769016E-2</v>
      </c>
    </row>
    <row r="92" spans="1:1" x14ac:dyDescent="0.4">
      <c r="A92">
        <f>LN('Download Data - STOCK_US_XNAS_N'!E93/'Download Data - STOCK_US_XNAS_N'!E92)</f>
        <v>1.6566000908258448E-2</v>
      </c>
    </row>
    <row r="93" spans="1:1" x14ac:dyDescent="0.4">
      <c r="A93">
        <f>LN('Download Data - STOCK_US_XNAS_N'!E94/'Download Data - STOCK_US_XNAS_N'!E93)</f>
        <v>3.9683134883619096E-2</v>
      </c>
    </row>
    <row r="94" spans="1:1" x14ac:dyDescent="0.4">
      <c r="A94">
        <f>LN('Download Data - STOCK_US_XNAS_N'!E95/'Download Data - STOCK_US_XNAS_N'!E94)</f>
        <v>1.3902584090218092E-2</v>
      </c>
    </row>
    <row r="95" spans="1:1" x14ac:dyDescent="0.4">
      <c r="A95">
        <f>LN('Download Data - STOCK_US_XNAS_N'!E96/'Download Data - STOCK_US_XNAS_N'!E95)</f>
        <v>4.2586370629583002E-2</v>
      </c>
    </row>
    <row r="96" spans="1:1" x14ac:dyDescent="0.4">
      <c r="A96">
        <f>LN('Download Data - STOCK_US_XNAS_N'!E97/'Download Data - STOCK_US_XNAS_N'!E96)</f>
        <v>-2.1380795024950331E-2</v>
      </c>
    </row>
    <row r="97" spans="1:1" x14ac:dyDescent="0.4">
      <c r="A97">
        <f>LN('Download Data - STOCK_US_XNAS_N'!E98/'Download Data - STOCK_US_XNAS_N'!E97)</f>
        <v>9.7752489046424654E-3</v>
      </c>
    </row>
    <row r="98" spans="1:1" x14ac:dyDescent="0.4">
      <c r="A98">
        <f>LN('Download Data - STOCK_US_XNAS_N'!E99/'Download Data - STOCK_US_XNAS_N'!E98)</f>
        <v>-3.7746314232431778E-2</v>
      </c>
    </row>
    <row r="99" spans="1:1" x14ac:dyDescent="0.4">
      <c r="A99">
        <f>LN('Download Data - STOCK_US_XNAS_N'!E100/'Download Data - STOCK_US_XNAS_N'!E99)</f>
        <v>4.449392582696797E-2</v>
      </c>
    </row>
    <row r="100" spans="1:1" x14ac:dyDescent="0.4">
      <c r="A100">
        <f>LN('Download Data - STOCK_US_XNAS_N'!E101/'Download Data - STOCK_US_XNAS_N'!E100)</f>
        <v>-2.2750463299343521E-2</v>
      </c>
    </row>
    <row r="101" spans="1:1" x14ac:dyDescent="0.4">
      <c r="A101">
        <f>LN('Download Data - STOCK_US_XNAS_N'!E102/'Download Data - STOCK_US_XNAS_N'!E101)</f>
        <v>1.4445218991123788E-2</v>
      </c>
    </row>
    <row r="102" spans="1:1" x14ac:dyDescent="0.4">
      <c r="A102">
        <f>LN('Download Data - STOCK_US_XNAS_N'!E103/'Download Data - STOCK_US_XNAS_N'!E102)</f>
        <v>-2.1189402922429205E-2</v>
      </c>
    </row>
    <row r="103" spans="1:1" x14ac:dyDescent="0.4">
      <c r="A103">
        <f>LN('Download Data - STOCK_US_XNAS_N'!E104/'Download Data - STOCK_US_XNAS_N'!E103)</f>
        <v>-6.597787086383719E-2</v>
      </c>
    </row>
    <row r="104" spans="1:1" x14ac:dyDescent="0.4">
      <c r="A104">
        <f>LN('Download Data - STOCK_US_XNAS_N'!E105/'Download Data - STOCK_US_XNAS_N'!E104)</f>
        <v>1.5023915271622633E-2</v>
      </c>
    </row>
    <row r="105" spans="1:1" x14ac:dyDescent="0.4">
      <c r="A105">
        <f>LN('Download Data - STOCK_US_XNAS_N'!E106/'Download Data - STOCK_US_XNAS_N'!E105)</f>
        <v>-0.10009668598272735</v>
      </c>
    </row>
    <row r="106" spans="1:1" x14ac:dyDescent="0.4">
      <c r="A106">
        <f>LN('Download Data - STOCK_US_XNAS_N'!E107/'Download Data - STOCK_US_XNAS_N'!E106)</f>
        <v>-1.6712960790771555E-2</v>
      </c>
    </row>
    <row r="107" spans="1:1" x14ac:dyDescent="0.4">
      <c r="A107">
        <f>LN('Download Data - STOCK_US_XNAS_N'!E108/'Download Data - STOCK_US_XNAS_N'!E107)</f>
        <v>9.371261534700203E-3</v>
      </c>
    </row>
    <row r="108" spans="1:1" x14ac:dyDescent="0.4">
      <c r="A108">
        <f>LN('Download Data - STOCK_US_XNAS_N'!E109/'Download Data - STOCK_US_XNAS_N'!E108)</f>
        <v>-4.1712388627049075E-2</v>
      </c>
    </row>
    <row r="109" spans="1:1" x14ac:dyDescent="0.4">
      <c r="A109">
        <f>LN('Download Data - STOCK_US_XNAS_N'!E110/'Download Data - STOCK_US_XNAS_N'!E109)</f>
        <v>3.4786116085415604E-2</v>
      </c>
    </row>
    <row r="110" spans="1:1" x14ac:dyDescent="0.4">
      <c r="A110">
        <f>LN('Download Data - STOCK_US_XNAS_N'!E111/'Download Data - STOCK_US_XNAS_N'!E110)</f>
        <v>1.5193469318647681E-2</v>
      </c>
    </row>
    <row r="111" spans="1:1" x14ac:dyDescent="0.4">
      <c r="A111">
        <f>LN('Download Data - STOCK_US_XNAS_N'!E112/'Download Data - STOCK_US_XNAS_N'!E111)</f>
        <v>7.8347683373565069E-2</v>
      </c>
    </row>
    <row r="112" spans="1:1" x14ac:dyDescent="0.4">
      <c r="A112">
        <f>LN('Download Data - STOCK_US_XNAS_N'!E113/'Download Data - STOCK_US_XNAS_N'!E112)</f>
        <v>1.8894864181813922E-2</v>
      </c>
    </row>
    <row r="113" spans="1:1" x14ac:dyDescent="0.4">
      <c r="A113">
        <f>LN('Download Data - STOCK_US_XNAS_N'!E114/'Download Data - STOCK_US_XNAS_N'!E113)</f>
        <v>-3.3579583928697982E-4</v>
      </c>
    </row>
    <row r="114" spans="1:1" x14ac:dyDescent="0.4">
      <c r="A114">
        <f>LN('Download Data - STOCK_US_XNAS_N'!E115/'Download Data - STOCK_US_XNAS_N'!E114)</f>
        <v>-1.9671653505862762E-2</v>
      </c>
    </row>
    <row r="115" spans="1:1" x14ac:dyDescent="0.4">
      <c r="A115">
        <f>LN('Download Data - STOCK_US_XNAS_N'!E116/'Download Data - STOCK_US_XNAS_N'!E115)</f>
        <v>-1.0242375549215622E-2</v>
      </c>
    </row>
    <row r="116" spans="1:1" x14ac:dyDescent="0.4">
      <c r="A116">
        <f>LN('Download Data - STOCK_US_XNAS_N'!E117/'Download Data - STOCK_US_XNAS_N'!E116)</f>
        <v>-1.9392641276668576E-2</v>
      </c>
    </row>
    <row r="117" spans="1:1" x14ac:dyDescent="0.4">
      <c r="A117">
        <f>LN('Download Data - STOCK_US_XNAS_N'!E118/'Download Data - STOCK_US_XNAS_N'!E117)</f>
        <v>3.8925516208970862E-2</v>
      </c>
    </row>
    <row r="118" spans="1:1" x14ac:dyDescent="0.4">
      <c r="A118">
        <f>LN('Download Data - STOCK_US_XNAS_N'!E119/'Download Data - STOCK_US_XNAS_N'!E118)</f>
        <v>-1.5992131132113445E-2</v>
      </c>
    </row>
    <row r="119" spans="1:1" x14ac:dyDescent="0.4">
      <c r="A119">
        <f>LN('Download Data - STOCK_US_XNAS_N'!E120/'Download Data - STOCK_US_XNAS_N'!E119)</f>
        <v>2.2388711668398825E-3</v>
      </c>
    </row>
    <row r="120" spans="1:1" x14ac:dyDescent="0.4">
      <c r="A120">
        <f>LN('Download Data - STOCK_US_XNAS_N'!E121/'Download Data - STOCK_US_XNAS_N'!E120)</f>
        <v>3.8886525598161081E-2</v>
      </c>
    </row>
    <row r="121" spans="1:1" x14ac:dyDescent="0.4">
      <c r="A121">
        <f>LN('Download Data - STOCK_US_XNAS_N'!E122/'Download Data - STOCK_US_XNAS_N'!E121)</f>
        <v>2.1606536578557402E-2</v>
      </c>
    </row>
    <row r="122" spans="1:1" x14ac:dyDescent="0.4">
      <c r="A122">
        <f>LN('Download Data - STOCK_US_XNAS_N'!E123/'Download Data - STOCK_US_XNAS_N'!E122)</f>
        <v>4.2819697823250902E-3</v>
      </c>
    </row>
    <row r="123" spans="1:1" x14ac:dyDescent="0.4">
      <c r="A123">
        <f>LN('Download Data - STOCK_US_XNAS_N'!E124/'Download Data - STOCK_US_XNAS_N'!E123)</f>
        <v>-2.1513215606850308E-2</v>
      </c>
    </row>
    <row r="124" spans="1:1" x14ac:dyDescent="0.4">
      <c r="A124">
        <f>LN('Download Data - STOCK_US_XNAS_N'!E125/'Download Data - STOCK_US_XNAS_N'!E124)</f>
        <v>3.2943502192181391E-4</v>
      </c>
    </row>
    <row r="125" spans="1:1" x14ac:dyDescent="0.4">
      <c r="A125">
        <f>LN('Download Data - STOCK_US_XNAS_N'!E126/'Download Data - STOCK_US_XNAS_N'!E125)</f>
        <v>-3.7246378849563687E-2</v>
      </c>
    </row>
    <row r="126" spans="1:1" x14ac:dyDescent="0.4">
      <c r="A126">
        <f>LN('Download Data - STOCK_US_XNAS_N'!E127/'Download Data - STOCK_US_XNAS_N'!E126)</f>
        <v>1.5688259008446757E-2</v>
      </c>
    </row>
    <row r="127" spans="1:1" x14ac:dyDescent="0.4">
      <c r="A127">
        <f>LN('Download Data - STOCK_US_XNAS_N'!E128/'Download Data - STOCK_US_XNAS_N'!E127)</f>
        <v>3.3101905160985295E-2</v>
      </c>
    </row>
    <row r="128" spans="1:1" x14ac:dyDescent="0.4">
      <c r="A128">
        <f>LN('Download Data - STOCK_US_XNAS_N'!E129/'Download Data - STOCK_US_XNAS_N'!E128)</f>
        <v>1.6709433447689864E-2</v>
      </c>
    </row>
    <row r="129" spans="1:1" x14ac:dyDescent="0.4">
      <c r="A129">
        <f>LN('Download Data - STOCK_US_XNAS_N'!E130/'Download Data - STOCK_US_XNAS_N'!E129)</f>
        <v>2.216683543170344E-2</v>
      </c>
    </row>
    <row r="130" spans="1:1" x14ac:dyDescent="0.4">
      <c r="A130">
        <f>LN('Download Data - STOCK_US_XNAS_N'!E131/'Download Data - STOCK_US_XNAS_N'!E130)</f>
        <v>3.9681350496835091E-2</v>
      </c>
    </row>
    <row r="131" spans="1:1" x14ac:dyDescent="0.4">
      <c r="A131">
        <f>LN('Download Data - STOCK_US_XNAS_N'!E132/'Download Data - STOCK_US_XNAS_N'!E131)</f>
        <v>-1.8076377596675597E-3</v>
      </c>
    </row>
    <row r="132" spans="1:1" x14ac:dyDescent="0.4">
      <c r="A132">
        <f>LN('Download Data - STOCK_US_XNAS_N'!E133/'Download Data - STOCK_US_XNAS_N'!E132)</f>
        <v>1.6152299119223994E-2</v>
      </c>
    </row>
    <row r="133" spans="1:1" x14ac:dyDescent="0.4">
      <c r="A133">
        <f>LN('Download Data - STOCK_US_XNAS_N'!E134/'Download Data - STOCK_US_XNAS_N'!E133)</f>
        <v>-7.4181224765981015E-5</v>
      </c>
    </row>
    <row r="134" spans="1:1" x14ac:dyDescent="0.4">
      <c r="A134">
        <f>LN('Download Data - STOCK_US_XNAS_N'!E135/'Download Data - STOCK_US_XNAS_N'!E134)</f>
        <v>2.3968604449854193E-2</v>
      </c>
    </row>
    <row r="135" spans="1:1" x14ac:dyDescent="0.4">
      <c r="A135">
        <f>LN('Download Data - STOCK_US_XNAS_N'!E136/'Download Data - STOCK_US_XNAS_N'!E135)</f>
        <v>-4.799378403684413E-2</v>
      </c>
    </row>
    <row r="136" spans="1:1" x14ac:dyDescent="0.4">
      <c r="A136">
        <f>LN('Download Data - STOCK_US_XNAS_N'!E137/'Download Data - STOCK_US_XNAS_N'!E136)</f>
        <v>3.0826921024812545E-2</v>
      </c>
    </row>
    <row r="137" spans="1:1" x14ac:dyDescent="0.4">
      <c r="A137">
        <f>LN('Download Data - STOCK_US_XNAS_N'!E138/'Download Data - STOCK_US_XNAS_N'!E137)</f>
        <v>8.8759064281130479E-3</v>
      </c>
    </row>
    <row r="138" spans="1:1" x14ac:dyDescent="0.4">
      <c r="A138">
        <f>LN('Download Data - STOCK_US_XNAS_N'!E139/'Download Data - STOCK_US_XNAS_N'!E138)</f>
        <v>7.7838388130624554E-3</v>
      </c>
    </row>
    <row r="139" spans="1:1" x14ac:dyDescent="0.4">
      <c r="A139">
        <f>LN('Download Data - STOCK_US_XNAS_N'!E140/'Download Data - STOCK_US_XNAS_N'!E139)</f>
        <v>4.0543694928950949E-2</v>
      </c>
    </row>
    <row r="140" spans="1:1" x14ac:dyDescent="0.4">
      <c r="A140">
        <f>LN('Download Data - STOCK_US_XNAS_N'!E141/'Download Data - STOCK_US_XNAS_N'!E140)</f>
        <v>-8.3536377987001502E-4</v>
      </c>
    </row>
    <row r="141" spans="1:1" x14ac:dyDescent="0.4">
      <c r="A141">
        <f>LN('Download Data - STOCK_US_XNAS_N'!E142/'Download Data - STOCK_US_XNAS_N'!E141)</f>
        <v>-2.8467399987712163E-2</v>
      </c>
    </row>
    <row r="142" spans="1:1" x14ac:dyDescent="0.4">
      <c r="A142">
        <f>LN('Download Data - STOCK_US_XNAS_N'!E143/'Download Data - STOCK_US_XNAS_N'!E142)</f>
        <v>6.0720978079774222E-3</v>
      </c>
    </row>
    <row r="143" spans="1:1" x14ac:dyDescent="0.4">
      <c r="A143">
        <f>LN('Download Data - STOCK_US_XNAS_N'!E144/'Download Data - STOCK_US_XNAS_N'!E143)</f>
        <v>8.0156485210877634E-3</v>
      </c>
    </row>
    <row r="144" spans="1:1" x14ac:dyDescent="0.4">
      <c r="A144">
        <f>LN('Download Data - STOCK_US_XNAS_N'!E145/'Download Data - STOCK_US_XNAS_N'!E144)</f>
        <v>-7.2325352500122939E-3</v>
      </c>
    </row>
    <row r="145" spans="1:1" x14ac:dyDescent="0.4">
      <c r="A145">
        <f>LN('Download Data - STOCK_US_XNAS_N'!E146/'Download Data - STOCK_US_XNAS_N'!E145)</f>
        <v>5.1815426289240412E-3</v>
      </c>
    </row>
    <row r="146" spans="1:1" x14ac:dyDescent="0.4">
      <c r="A146">
        <f>LN('Download Data - STOCK_US_XNAS_N'!E147/'Download Data - STOCK_US_XNAS_N'!E146)</f>
        <v>-1.3614380424577415E-2</v>
      </c>
    </row>
    <row r="147" spans="1:1" x14ac:dyDescent="0.4">
      <c r="A147">
        <f>LN('Download Data - STOCK_US_XNAS_N'!E148/'Download Data - STOCK_US_XNAS_N'!E147)</f>
        <v>-4.837400275019902E-2</v>
      </c>
    </row>
    <row r="148" spans="1:1" x14ac:dyDescent="0.4">
      <c r="A148">
        <f>LN('Download Data - STOCK_US_XNAS_N'!E149/'Download Data - STOCK_US_XNAS_N'!E148)</f>
        <v>1.9690373626400793E-2</v>
      </c>
    </row>
    <row r="149" spans="1:1" x14ac:dyDescent="0.4">
      <c r="A149">
        <f>LN('Download Data - STOCK_US_XNAS_N'!E150/'Download Data - STOCK_US_XNAS_N'!E149)</f>
        <v>4.7891047510806297E-3</v>
      </c>
    </row>
    <row r="150" spans="1:1" x14ac:dyDescent="0.4">
      <c r="A150">
        <f>LN('Download Data - STOCK_US_XNAS_N'!E151/'Download Data - STOCK_US_XNAS_N'!E150)</f>
        <v>2.7976893515939023E-2</v>
      </c>
    </row>
    <row r="151" spans="1:1" x14ac:dyDescent="0.4">
      <c r="A151">
        <f>LN('Download Data - STOCK_US_XNAS_N'!E152/'Download Data - STOCK_US_XNAS_N'!E151)</f>
        <v>3.993245597761879E-2</v>
      </c>
    </row>
    <row r="152" spans="1:1" x14ac:dyDescent="0.4">
      <c r="A152">
        <f>LN('Download Data - STOCK_US_XNAS_N'!E153/'Download Data - STOCK_US_XNAS_N'!E152)</f>
        <v>2.2208797611182083E-2</v>
      </c>
    </row>
    <row r="153" spans="1:1" x14ac:dyDescent="0.4">
      <c r="A153">
        <f>LN('Download Data - STOCK_US_XNAS_N'!E154/'Download Data - STOCK_US_XNAS_N'!E153)</f>
        <v>-8.4314687879987818E-3</v>
      </c>
    </row>
    <row r="154" spans="1:1" x14ac:dyDescent="0.4">
      <c r="A154">
        <f>LN('Download Data - STOCK_US_XNAS_N'!E155/'Download Data - STOCK_US_XNAS_N'!E154)</f>
        <v>-1.618390336797439E-2</v>
      </c>
    </row>
    <row r="155" spans="1:1" x14ac:dyDescent="0.4">
      <c r="A155">
        <f>LN('Download Data - STOCK_US_XNAS_N'!E156/'Download Data - STOCK_US_XNAS_N'!E155)</f>
        <v>2.0644575808955484E-2</v>
      </c>
    </row>
    <row r="156" spans="1:1" x14ac:dyDescent="0.4">
      <c r="A156">
        <f>LN('Download Data - STOCK_US_XNAS_N'!E157/'Download Data - STOCK_US_XNAS_N'!E156)</f>
        <v>-1.3715587087980549E-2</v>
      </c>
    </row>
    <row r="157" spans="1:1" x14ac:dyDescent="0.4">
      <c r="A157">
        <f>LN('Download Data - STOCK_US_XNAS_N'!E158/'Download Data - STOCK_US_XNAS_N'!E157)</f>
        <v>3.3443705880842637E-3</v>
      </c>
    </row>
    <row r="158" spans="1:1" x14ac:dyDescent="0.4">
      <c r="A158">
        <f>LN('Download Data - STOCK_US_XNAS_N'!E159/'Download Data - STOCK_US_XNAS_N'!E158)</f>
        <v>-3.3112396875841478E-2</v>
      </c>
    </row>
    <row r="159" spans="1:1" x14ac:dyDescent="0.4">
      <c r="A159">
        <f>LN('Download Data - STOCK_US_XNAS_N'!E160/'Download Data - STOCK_US_XNAS_N'!E159)</f>
        <v>-1.2972925000442384E-2</v>
      </c>
    </row>
    <row r="160" spans="1:1" x14ac:dyDescent="0.4">
      <c r="A160">
        <f>LN('Download Data - STOCK_US_XNAS_N'!E161/'Download Data - STOCK_US_XNAS_N'!E160)</f>
        <v>4.7787334065077465E-2</v>
      </c>
    </row>
    <row r="161" spans="1:1" x14ac:dyDescent="0.4">
      <c r="A161">
        <f>LN('Download Data - STOCK_US_XNAS_N'!E162/'Download Data - STOCK_US_XNAS_N'!E161)</f>
        <v>-7.6476985920707645E-3</v>
      </c>
    </row>
    <row r="162" spans="1:1" x14ac:dyDescent="0.4">
      <c r="A162">
        <f>LN('Download Data - STOCK_US_XNAS_N'!E163/'Download Data - STOCK_US_XNAS_N'!E162)</f>
        <v>5.3322521748597551E-3</v>
      </c>
    </row>
    <row r="163" spans="1:1" x14ac:dyDescent="0.4">
      <c r="A163">
        <f>LN('Download Data - STOCK_US_XNAS_N'!E164/'Download Data - STOCK_US_XNAS_N'!E163)</f>
        <v>-3.2710282339683691E-2</v>
      </c>
    </row>
    <row r="164" spans="1:1" x14ac:dyDescent="0.4">
      <c r="A164">
        <f>LN('Download Data - STOCK_US_XNAS_N'!E165/'Download Data - STOCK_US_XNAS_N'!E164)</f>
        <v>-4.267294917148743E-2</v>
      </c>
    </row>
    <row r="165" spans="1:1" x14ac:dyDescent="0.4">
      <c r="A165">
        <f>LN('Download Data - STOCK_US_XNAS_N'!E166/'Download Data - STOCK_US_XNAS_N'!E165)</f>
        <v>6.594879914491771E-3</v>
      </c>
    </row>
    <row r="166" spans="1:1" x14ac:dyDescent="0.4">
      <c r="A166">
        <f>LN('Download Data - STOCK_US_XNAS_N'!E167/'Download Data - STOCK_US_XNAS_N'!E166)</f>
        <v>-1.1606682857905002E-2</v>
      </c>
    </row>
    <row r="167" spans="1:1" x14ac:dyDescent="0.4">
      <c r="A167">
        <f>LN('Download Data - STOCK_US_XNAS_N'!E168/'Download Data - STOCK_US_XNAS_N'!E167)</f>
        <v>2.1273509598364767E-2</v>
      </c>
    </row>
    <row r="168" spans="1:1" x14ac:dyDescent="0.4">
      <c r="A168">
        <f>LN('Download Data - STOCK_US_XNAS_N'!E169/'Download Data - STOCK_US_XNAS_N'!E168)</f>
        <v>2.7448731478405524E-3</v>
      </c>
    </row>
    <row r="169" spans="1:1" x14ac:dyDescent="0.4">
      <c r="A169">
        <f>LN('Download Data - STOCK_US_XNAS_N'!E170/'Download Data - STOCK_US_XNAS_N'!E169)</f>
        <v>1.1689329558479629E-2</v>
      </c>
    </row>
    <row r="170" spans="1:1" x14ac:dyDescent="0.4">
      <c r="A170">
        <f>LN('Download Data - STOCK_US_XNAS_N'!E171/'Download Data - STOCK_US_XNAS_N'!E170)</f>
        <v>3.4200950741226366E-2</v>
      </c>
    </row>
    <row r="171" spans="1:1" x14ac:dyDescent="0.4">
      <c r="A171">
        <f>LN('Download Data - STOCK_US_XNAS_N'!E172/'Download Data - STOCK_US_XNAS_N'!E171)</f>
        <v>-5.5134391472441149E-4</v>
      </c>
    </row>
    <row r="172" spans="1:1" x14ac:dyDescent="0.4">
      <c r="A172">
        <f>LN('Download Data - STOCK_US_XNAS_N'!E173/'Download Data - STOCK_US_XNAS_N'!E172)</f>
        <v>-1.8226591525689419E-2</v>
      </c>
    </row>
    <row r="173" spans="1:1" x14ac:dyDescent="0.4">
      <c r="A173">
        <f>LN('Download Data - STOCK_US_XNAS_N'!E174/'Download Data - STOCK_US_XNAS_N'!E173)</f>
        <v>-2.5814766822559045E-2</v>
      </c>
    </row>
    <row r="174" spans="1:1" x14ac:dyDescent="0.4">
      <c r="A174">
        <f>LN('Download Data - STOCK_US_XNAS_N'!E175/'Download Data - STOCK_US_XNAS_N'!E174)</f>
        <v>-2.731292901434523E-2</v>
      </c>
    </row>
    <row r="175" spans="1:1" x14ac:dyDescent="0.4">
      <c r="A175">
        <f>LN('Download Data - STOCK_US_XNAS_N'!E176/'Download Data - STOCK_US_XNAS_N'!E175)</f>
        <v>3.0908503145460821E-2</v>
      </c>
    </row>
    <row r="176" spans="1:1" x14ac:dyDescent="0.4">
      <c r="A176">
        <f>LN('Download Data - STOCK_US_XNAS_N'!E177/'Download Data - STOCK_US_XNAS_N'!E176)</f>
        <v>-1.4242062525603194E-2</v>
      </c>
    </row>
    <row r="177" spans="1:1" x14ac:dyDescent="0.4">
      <c r="A177">
        <f>LN('Download Data - STOCK_US_XNAS_N'!E178/'Download Data - STOCK_US_XNAS_N'!E177)</f>
        <v>-2.2755869803556265E-2</v>
      </c>
    </row>
    <row r="178" spans="1:1" x14ac:dyDescent="0.4">
      <c r="A178">
        <f>LN('Download Data - STOCK_US_XNAS_N'!E179/'Download Data - STOCK_US_XNAS_N'!E178)</f>
        <v>-1.6901810802603254E-2</v>
      </c>
    </row>
    <row r="179" spans="1:1" x14ac:dyDescent="0.4">
      <c r="A179">
        <f>LN('Download Data - STOCK_US_XNAS_N'!E180/'Download Data - STOCK_US_XNAS_N'!E179)</f>
        <v>-1.2271963150990077E-2</v>
      </c>
    </row>
    <row r="180" spans="1:1" x14ac:dyDescent="0.4">
      <c r="A180">
        <f>LN('Download Data - STOCK_US_XNAS_N'!E181/'Download Data - STOCK_US_XNAS_N'!E180)</f>
        <v>-1.1415472980367396E-2</v>
      </c>
    </row>
    <row r="181" spans="1:1" x14ac:dyDescent="0.4">
      <c r="A181">
        <f>LN('Download Data - STOCK_US_XNAS_N'!E182/'Download Data - STOCK_US_XNAS_N'!E181)</f>
        <v>1.3637100277856131E-2</v>
      </c>
    </row>
    <row r="182" spans="1:1" x14ac:dyDescent="0.4">
      <c r="A182">
        <f>LN('Download Data - STOCK_US_XNAS_N'!E183/'Download Data - STOCK_US_XNAS_N'!E182)</f>
        <v>3.0298496683448778E-2</v>
      </c>
    </row>
    <row r="183" spans="1:1" x14ac:dyDescent="0.4">
      <c r="A183">
        <f>LN('Download Data - STOCK_US_XNAS_N'!E184/'Download Data - STOCK_US_XNAS_N'!E183)</f>
        <v>3.6232413901361615E-2</v>
      </c>
    </row>
    <row r="184" spans="1:1" x14ac:dyDescent="0.4">
      <c r="A184">
        <f>LN('Download Data - STOCK_US_XNAS_N'!E185/'Download Data - STOCK_US_XNAS_N'!E184)</f>
        <v>3.9301204611417624E-3</v>
      </c>
    </row>
    <row r="185" spans="1:1" x14ac:dyDescent="0.4">
      <c r="A185">
        <f>LN('Download Data - STOCK_US_XNAS_N'!E186/'Download Data - STOCK_US_XNAS_N'!E185)</f>
        <v>-2.070320211199508E-3</v>
      </c>
    </row>
    <row r="186" spans="1:1" x14ac:dyDescent="0.4">
      <c r="A186">
        <f>LN('Download Data - STOCK_US_XNAS_N'!E187/'Download Data - STOCK_US_XNAS_N'!E186)</f>
        <v>-2.1088381702604804E-2</v>
      </c>
    </row>
    <row r="187" spans="1:1" x14ac:dyDescent="0.4">
      <c r="A187">
        <f>LN('Download Data - STOCK_US_XNAS_N'!E188/'Download Data - STOCK_US_XNAS_N'!E187)</f>
        <v>3.4972713241252736E-3</v>
      </c>
    </row>
    <row r="188" spans="1:1" x14ac:dyDescent="0.4">
      <c r="A188">
        <f>LN('Download Data - STOCK_US_XNAS_N'!E189/'Download Data - STOCK_US_XNAS_N'!E188)</f>
        <v>-2.3549546596058561E-2</v>
      </c>
    </row>
    <row r="189" spans="1:1" x14ac:dyDescent="0.4">
      <c r="A189">
        <f>LN('Download Data - STOCK_US_XNAS_N'!E190/'Download Data - STOCK_US_XNAS_N'!E189)</f>
        <v>2.9495902043532696E-2</v>
      </c>
    </row>
    <row r="190" spans="1:1" x14ac:dyDescent="0.4">
      <c r="A190">
        <f>LN('Download Data - STOCK_US_XNAS_N'!E191/'Download Data - STOCK_US_XNAS_N'!E190)</f>
        <v>4.3574330904673421E-2</v>
      </c>
    </row>
    <row r="191" spans="1:1" x14ac:dyDescent="0.4">
      <c r="A191">
        <f>LN('Download Data - STOCK_US_XNAS_N'!E192/'Download Data - STOCK_US_XNAS_N'!E191)</f>
        <v>3.3756182212011883E-2</v>
      </c>
    </row>
    <row r="192" spans="1:1" x14ac:dyDescent="0.4">
      <c r="A192">
        <f>LN('Download Data - STOCK_US_XNAS_N'!E193/'Download Data - STOCK_US_XNAS_N'!E192)</f>
        <v>-6.4186132810914065E-2</v>
      </c>
    </row>
    <row r="193" spans="1:1" x14ac:dyDescent="0.4">
      <c r="A193">
        <f>LN('Download Data - STOCK_US_XNAS_N'!E194/'Download Data - STOCK_US_XNAS_N'!E193)</f>
        <v>-2.140945592475461E-4</v>
      </c>
    </row>
    <row r="194" spans="1:1" x14ac:dyDescent="0.4">
      <c r="A194">
        <f>LN('Download Data - STOCK_US_XNAS_N'!E195/'Download Data - STOCK_US_XNAS_N'!E194)</f>
        <v>-3.0434926415884248E-2</v>
      </c>
    </row>
    <row r="195" spans="1:1" x14ac:dyDescent="0.4">
      <c r="A195">
        <f>LN('Download Data - STOCK_US_XNAS_N'!E196/'Download Data - STOCK_US_XNAS_N'!E195)</f>
        <v>-1.9915943995135368E-2</v>
      </c>
    </row>
    <row r="196" spans="1:1" x14ac:dyDescent="0.4">
      <c r="A196">
        <f>LN('Download Data - STOCK_US_XNAS_N'!E197/'Download Data - STOCK_US_XNAS_N'!E196)</f>
        <v>-1.1094872102735659E-2</v>
      </c>
    </row>
    <row r="197" spans="1:1" x14ac:dyDescent="0.4">
      <c r="A197">
        <f>LN('Download Data - STOCK_US_XNAS_N'!E198/'Download Data - STOCK_US_XNAS_N'!E197)</f>
        <v>3.3435950485048091E-2</v>
      </c>
    </row>
    <row r="198" spans="1:1" x14ac:dyDescent="0.4">
      <c r="A198">
        <f>LN('Download Data - STOCK_US_XNAS_N'!E199/'Download Data - STOCK_US_XNAS_N'!E198)</f>
        <v>-1.9792351365419E-2</v>
      </c>
    </row>
    <row r="199" spans="1:1" x14ac:dyDescent="0.4">
      <c r="A199">
        <f>LN('Download Data - STOCK_US_XNAS_N'!E200/'Download Data - STOCK_US_XNAS_N'!E199)</f>
        <v>3.0524339750020613E-2</v>
      </c>
    </row>
    <row r="200" spans="1:1" x14ac:dyDescent="0.4">
      <c r="A200">
        <f>LN('Download Data - STOCK_US_XNAS_N'!E201/'Download Data - STOCK_US_XNAS_N'!E200)</f>
        <v>2.2403464470924412E-2</v>
      </c>
    </row>
    <row r="201" spans="1:1" x14ac:dyDescent="0.4">
      <c r="A201">
        <f>LN('Download Data - STOCK_US_XNAS_N'!E202/'Download Data - STOCK_US_XNAS_N'!E201)</f>
        <v>4.3355174702263348E-2</v>
      </c>
    </row>
    <row r="202" spans="1:1" x14ac:dyDescent="0.4">
      <c r="A202">
        <f>LN('Download Data - STOCK_US_XNAS_N'!E203/'Download Data - STOCK_US_XNAS_N'!E202)</f>
        <v>1.0194027183375537E-3</v>
      </c>
    </row>
    <row r="203" spans="1:1" x14ac:dyDescent="0.4">
      <c r="A203">
        <f>LN('Download Data - STOCK_US_XNAS_N'!E204/'Download Data - STOCK_US_XNAS_N'!E203)</f>
        <v>-3.1744316030402252E-2</v>
      </c>
    </row>
    <row r="204" spans="1:1" x14ac:dyDescent="0.4">
      <c r="A204">
        <f>LN('Download Data - STOCK_US_XNAS_N'!E205/'Download Data - STOCK_US_XNAS_N'!E204)</f>
        <v>-0.18594612349652748</v>
      </c>
    </row>
    <row r="205" spans="1:1" x14ac:dyDescent="0.4">
      <c r="A205">
        <f>LN('Download Data - STOCK_US_XNAS_N'!E206/'Download Data - STOCK_US_XNAS_N'!E205)</f>
        <v>8.5497254873414752E-2</v>
      </c>
    </row>
    <row r="206" spans="1:1" x14ac:dyDescent="0.4">
      <c r="A206">
        <f>LN('Download Data - STOCK_US_XNAS_N'!E207/'Download Data - STOCK_US_XNAS_N'!E206)</f>
        <v>-4.1875602578602553E-2</v>
      </c>
    </row>
    <row r="207" spans="1:1" x14ac:dyDescent="0.4">
      <c r="A207">
        <f>LN('Download Data - STOCK_US_XNAS_N'!E208/'Download Data - STOCK_US_XNAS_N'!E207)</f>
        <v>7.6505305711246667E-3</v>
      </c>
    </row>
    <row r="208" spans="1:1" x14ac:dyDescent="0.4">
      <c r="A208">
        <f>LN('Download Data - STOCK_US_XNAS_N'!E209/'Download Data - STOCK_US_XNAS_N'!E208)</f>
        <v>-3.743490392694037E-2</v>
      </c>
    </row>
    <row r="209" spans="1:1" x14ac:dyDescent="0.4">
      <c r="A209">
        <f>LN('Download Data - STOCK_US_XNAS_N'!E210/'Download Data - STOCK_US_XNAS_N'!E209)</f>
        <v>-2.8811184717135074E-2</v>
      </c>
    </row>
    <row r="210" spans="1:1" x14ac:dyDescent="0.4">
      <c r="A210">
        <f>LN('Download Data - STOCK_US_XNAS_N'!E211/'Download Data - STOCK_US_XNAS_N'!E210)</f>
        <v>1.6914261556281014E-2</v>
      </c>
    </row>
    <row r="211" spans="1:1" x14ac:dyDescent="0.4">
      <c r="A211">
        <f>LN('Download Data - STOCK_US_XNAS_N'!E212/'Download Data - STOCK_US_XNAS_N'!E211)</f>
        <v>5.0774828781187074E-2</v>
      </c>
    </row>
    <row r="212" spans="1:1" x14ac:dyDescent="0.4">
      <c r="A212">
        <f>LN('Download Data - STOCK_US_XNAS_N'!E213/'Download Data - STOCK_US_XNAS_N'!E212)</f>
        <v>3.0375890707866154E-2</v>
      </c>
    </row>
    <row r="213" spans="1:1" x14ac:dyDescent="0.4">
      <c r="A213">
        <f>LN('Download Data - STOCK_US_XNAS_N'!E214/'Download Data - STOCK_US_XNAS_N'!E213)</f>
        <v>8.974220835510088E-3</v>
      </c>
    </row>
    <row r="214" spans="1:1" x14ac:dyDescent="0.4">
      <c r="A214">
        <f>LN('Download Data - STOCK_US_XNAS_N'!E215/'Download Data - STOCK_US_XNAS_N'!E214)</f>
        <v>2.8322761782678136E-2</v>
      </c>
    </row>
    <row r="215" spans="1:1" x14ac:dyDescent="0.4">
      <c r="A215">
        <f>LN('Download Data - STOCK_US_XNAS_N'!E216/'Download Data - STOCK_US_XNAS_N'!E215)</f>
        <v>-5.7814479466803586E-3</v>
      </c>
    </row>
    <row r="216" spans="1:1" x14ac:dyDescent="0.4">
      <c r="A216">
        <f>LN('Download Data - STOCK_US_XNAS_N'!E217/'Download Data - STOCK_US_XNAS_N'!E216)</f>
        <v>-1.2578782206860298E-2</v>
      </c>
    </row>
    <row r="217" spans="1:1" x14ac:dyDescent="0.4">
      <c r="A217">
        <f>LN('Download Data - STOCK_US_XNAS_N'!E218/'Download Data - STOCK_US_XNAS_N'!E217)</f>
        <v>3.1155167779795479E-2</v>
      </c>
    </row>
    <row r="218" spans="1:1" x14ac:dyDescent="0.4">
      <c r="A218">
        <f>LN('Download Data - STOCK_US_XNAS_N'!E219/'Download Data - STOCK_US_XNAS_N'!E218)</f>
        <v>2.5973591137539755E-2</v>
      </c>
    </row>
    <row r="219" spans="1:1" x14ac:dyDescent="0.4">
      <c r="A219">
        <f>LN('Download Data - STOCK_US_XNAS_N'!E220/'Download Data - STOCK_US_XNAS_N'!E219)</f>
        <v>3.953284573615142E-3</v>
      </c>
    </row>
    <row r="220" spans="1:1" x14ac:dyDescent="0.4">
      <c r="A220">
        <f>LN('Download Data - STOCK_US_XNAS_N'!E221/'Download Data - STOCK_US_XNAS_N'!E220)</f>
        <v>-1.2202564052294857E-3</v>
      </c>
    </row>
    <row r="221" spans="1:1" x14ac:dyDescent="0.4">
      <c r="A221">
        <f>LN('Download Data - STOCK_US_XNAS_N'!E222/'Download Data - STOCK_US_XNAS_N'!E221)</f>
        <v>6.3005864619461423E-3</v>
      </c>
    </row>
    <row r="222" spans="1:1" x14ac:dyDescent="0.4">
      <c r="A222">
        <f>LN('Download Data - STOCK_US_XNAS_N'!E223/'Download Data - STOCK_US_XNAS_N'!E222)</f>
        <v>-4.1384210916978727E-2</v>
      </c>
    </row>
    <row r="223" spans="1:1" x14ac:dyDescent="0.4">
      <c r="A223">
        <f>LN('Download Data - STOCK_US_XNAS_N'!E224/'Download Data - STOCK_US_XNAS_N'!E223)</f>
        <v>-3.1357637058128648E-2</v>
      </c>
    </row>
    <row r="224" spans="1:1" x14ac:dyDescent="0.4">
      <c r="A224">
        <f>LN('Download Data - STOCK_US_XNAS_N'!E225/'Download Data - STOCK_US_XNAS_N'!E224)</f>
        <v>-2.8416531945515723E-2</v>
      </c>
    </row>
    <row r="225" spans="1:1" x14ac:dyDescent="0.4">
      <c r="A225">
        <f>LN('Download Data - STOCK_US_XNAS_N'!E226/'Download Data - STOCK_US_XNAS_N'!E225)</f>
        <v>3.6062998319318362E-2</v>
      </c>
    </row>
    <row r="226" spans="1:1" x14ac:dyDescent="0.4">
      <c r="A226">
        <f>LN('Download Data - STOCK_US_XNAS_N'!E227/'Download Data - STOCK_US_XNAS_N'!E226)</f>
        <v>-8.8591484599357465E-2</v>
      </c>
    </row>
    <row r="227" spans="1:1" x14ac:dyDescent="0.4">
      <c r="A227">
        <f>LN('Download Data - STOCK_US_XNAS_N'!E228/'Download Data - STOCK_US_XNAS_N'!E227)</f>
        <v>3.893257023239987E-2</v>
      </c>
    </row>
    <row r="228" spans="1:1" x14ac:dyDescent="0.4">
      <c r="A228">
        <f>LN('Download Data - STOCK_US_XNAS_N'!E229/'Download Data - STOCK_US_XNAS_N'!E228)</f>
        <v>-9.0948906686485087E-2</v>
      </c>
    </row>
    <row r="229" spans="1:1" x14ac:dyDescent="0.4">
      <c r="A229">
        <f>LN('Download Data - STOCK_US_XNAS_N'!E230/'Download Data - STOCK_US_XNAS_N'!E229)</f>
        <v>1.6779354765391951E-2</v>
      </c>
    </row>
    <row r="230" spans="1:1" x14ac:dyDescent="0.4">
      <c r="A230">
        <f>LN('Download Data - STOCK_US_XNAS_N'!E231/'Download Data - STOCK_US_XNAS_N'!E230)</f>
        <v>1.1230775165644994E-2</v>
      </c>
    </row>
    <row r="231" spans="1:1" x14ac:dyDescent="0.4">
      <c r="A231">
        <f>LN('Download Data - STOCK_US_XNAS_N'!E232/'Download Data - STOCK_US_XNAS_N'!E231)</f>
        <v>-5.9085951105119362E-2</v>
      </c>
    </row>
    <row r="232" spans="1:1" x14ac:dyDescent="0.4">
      <c r="A232">
        <f>LN('Download Data - STOCK_US_XNAS_N'!E233/'Download Data - STOCK_US_XNAS_N'!E232)</f>
        <v>1.8991881409947647E-2</v>
      </c>
    </row>
    <row r="233" spans="1:1" x14ac:dyDescent="0.4">
      <c r="A233">
        <f>LN('Download Data - STOCK_US_XNAS_N'!E234/'Download Data - STOCK_US_XNAS_N'!E233)</f>
        <v>-5.1998784861153904E-2</v>
      </c>
    </row>
    <row r="234" spans="1:1" x14ac:dyDescent="0.4">
      <c r="A234">
        <f>LN('Download Data - STOCK_US_XNAS_N'!E235/'Download Data - STOCK_US_XNAS_N'!E234)</f>
        <v>1.650171866116593E-2</v>
      </c>
    </row>
    <row r="235" spans="1:1" x14ac:dyDescent="0.4">
      <c r="A235">
        <f>LN('Download Data - STOCK_US_XNAS_N'!E236/'Download Data - STOCK_US_XNAS_N'!E235)</f>
        <v>6.2202676381422621E-2</v>
      </c>
    </row>
    <row r="236" spans="1:1" x14ac:dyDescent="0.4">
      <c r="A236">
        <f>LN('Download Data - STOCK_US_XNAS_N'!E237/'Download Data - STOCK_US_XNAS_N'!E236)</f>
        <v>-1.383365256060755E-3</v>
      </c>
    </row>
    <row r="237" spans="1:1" x14ac:dyDescent="0.4">
      <c r="A237">
        <f>LN('Download Data - STOCK_US_XNAS_N'!E238/'Download Data - STOCK_US_XNAS_N'!E237)</f>
        <v>5.1349530909725834E-2</v>
      </c>
    </row>
    <row r="238" spans="1:1" x14ac:dyDescent="0.4">
      <c r="A238">
        <f>LN('Download Data - STOCK_US_XNAS_N'!E239/'Download Data - STOCK_US_XNAS_N'!E238)</f>
        <v>-1.7745075909468073E-2</v>
      </c>
    </row>
    <row r="239" spans="1:1" x14ac:dyDescent="0.4">
      <c r="A239">
        <f>LN('Download Data - STOCK_US_XNAS_N'!E240/'Download Data - STOCK_US_XNAS_N'!E239)</f>
        <v>-3.4903100263068657E-2</v>
      </c>
    </row>
    <row r="240" spans="1:1" x14ac:dyDescent="0.4">
      <c r="A240">
        <f>LN('Download Data - STOCK_US_XNAS_N'!E241/'Download Data - STOCK_US_XNAS_N'!E240)</f>
        <v>1.7944246238800962E-2</v>
      </c>
    </row>
    <row r="241" spans="1:1" x14ac:dyDescent="0.4">
      <c r="A241">
        <f>LN('Download Data - STOCK_US_XNAS_N'!E242/'Download Data - STOCK_US_XNAS_N'!E241)</f>
        <v>8.5575612257871476E-3</v>
      </c>
    </row>
    <row r="242" spans="1:1" x14ac:dyDescent="0.4">
      <c r="A242">
        <f>LN('Download Data - STOCK_US_XNAS_N'!E243/'Download Data - STOCK_US_XNAS_N'!E242)</f>
        <v>-7.0270788251779615E-3</v>
      </c>
    </row>
    <row r="243" spans="1:1" x14ac:dyDescent="0.4">
      <c r="A243">
        <f>LN('Download Data - STOCK_US_XNAS_N'!E244/'Download Data - STOCK_US_XNAS_N'!E243)</f>
        <v>3.1034233289652859E-2</v>
      </c>
    </row>
    <row r="244" spans="1:1" x14ac:dyDescent="0.4">
      <c r="A244">
        <f>LN('Download Data - STOCK_US_XNAS_N'!E245/'Download Data - STOCK_US_XNAS_N'!E244)</f>
        <v>-5.9479729260773087E-3</v>
      </c>
    </row>
    <row r="245" spans="1:1" x14ac:dyDescent="0.4">
      <c r="A245">
        <f>LN('Download Data - STOCK_US_XNAS_N'!E246/'Download Data - STOCK_US_XNAS_N'!E245)</f>
        <v>-5.9134308574875692E-2</v>
      </c>
    </row>
    <row r="246" spans="1:1" x14ac:dyDescent="0.4">
      <c r="A246">
        <f>LN('Download Data - STOCK_US_XNAS_N'!E247/'Download Data - STOCK_US_XNAS_N'!E246)</f>
        <v>-2.0694374995968212E-2</v>
      </c>
    </row>
    <row r="247" spans="1:1" x14ac:dyDescent="0.4">
      <c r="A247">
        <f>LN('Download Data - STOCK_US_XNAS_N'!E248/'Download Data - STOCK_US_XNAS_N'!E247)</f>
        <v>-1.5920734286845054E-2</v>
      </c>
    </row>
    <row r="248" spans="1:1" x14ac:dyDescent="0.4">
      <c r="A248">
        <f>LN('Download Data - STOCK_US_XNAS_N'!E249/'Download Data - STOCK_US_XNAS_N'!E248)</f>
        <v>-1.183228663414946E-2</v>
      </c>
    </row>
    <row r="249" spans="1:1" x14ac:dyDescent="0.4">
      <c r="A249">
        <f>LN('Download Data - STOCK_US_XNAS_N'!E250/'Download Data - STOCK_US_XNAS_N'!E249)</f>
        <v>1.6199503110384043E-2</v>
      </c>
    </row>
    <row r="250" spans="1:1" x14ac:dyDescent="0.4">
      <c r="A250">
        <f>LN('Download Data - STOCK_US_XNAS_N'!E251/'Download Data - STOCK_US_XNAS_N'!E250)</f>
        <v>2.4482036075463964E-3</v>
      </c>
    </row>
    <row r="251" spans="1:1" x14ac:dyDescent="0.4">
      <c r="A251">
        <f>LN('Download Data - STOCK_US_XNAS_N'!E252/'Download Data - STOCK_US_XNAS_N'!E251)</f>
        <v>-8.1281172739476215E-2</v>
      </c>
    </row>
    <row r="252" spans="1:1" x14ac:dyDescent="0.4">
      <c r="A252">
        <f>LN('Download Data - STOCK_US_XNAS_N'!E253/'Download Data - STOCK_US_XNAS_N'!E252)</f>
        <v>-7.6422875560628892E-2</v>
      </c>
    </row>
  </sheetData>
  <phoneticPr fontId="19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0852E-3B14-CF4E-BD11-21DC907384E8}">
  <dimension ref="A1:XFB1048559"/>
  <sheetViews>
    <sheetView tabSelected="1" zoomScale="51" zoomScaleNormal="60" zoomScaleSheetLayoutView="40" zoomScalePageLayoutView="44" workbookViewId="0">
      <selection activeCell="L20" sqref="L20"/>
    </sheetView>
  </sheetViews>
  <sheetFormatPr defaultColWidth="10.8203125" defaultRowHeight="15" x14ac:dyDescent="0.4"/>
  <cols>
    <col min="1" max="1" width="23.17578125" bestFit="1" customWidth="1"/>
    <col min="2" max="2" width="18.703125" bestFit="1" customWidth="1"/>
    <col min="3" max="3" width="18.64453125" customWidth="1"/>
    <col min="4" max="4" width="38.46875" bestFit="1" customWidth="1"/>
    <col min="5" max="5" width="18.76171875" bestFit="1" customWidth="1"/>
    <col min="15" max="15" width="19" customWidth="1"/>
  </cols>
  <sheetData>
    <row r="1" spans="1:15" x14ac:dyDescent="0.4">
      <c r="A1" s="3" t="s">
        <v>7</v>
      </c>
      <c r="B1">
        <f>'Download Data - STOCK_US_XNAS_N'!E2</f>
        <v>85.91</v>
      </c>
    </row>
    <row r="2" spans="1:15" x14ac:dyDescent="0.4">
      <c r="A2" s="3" t="s">
        <v>8</v>
      </c>
      <c r="B2">
        <f>AVERAGE('Log Returns'!A2:A252)</f>
        <v>3.7166132233398624E-4</v>
      </c>
    </row>
    <row r="3" spans="1:15" x14ac:dyDescent="0.4">
      <c r="A3" s="3" t="s">
        <v>9</v>
      </c>
      <c r="B3">
        <f>_xlfn.STDEV.P('Log Returns'!A2:A252)</f>
        <v>3.640961463461103E-2</v>
      </c>
    </row>
    <row r="4" spans="1:15" x14ac:dyDescent="0.4">
      <c r="A4" s="3" t="s">
        <v>10</v>
      </c>
      <c r="B4">
        <f>252</f>
        <v>252</v>
      </c>
    </row>
    <row r="5" spans="1:15" x14ac:dyDescent="0.4">
      <c r="A5" s="5" t="s">
        <v>13</v>
      </c>
      <c r="B5">
        <f>1/B4</f>
        <v>3.968253968253968E-3</v>
      </c>
    </row>
    <row r="6" spans="1:15" x14ac:dyDescent="0.4">
      <c r="A6" s="5" t="s">
        <v>17</v>
      </c>
      <c r="B6">
        <f>'Download Data - STOCK_US_XNAS_N'!E253</f>
        <v>94.31</v>
      </c>
    </row>
    <row r="8" spans="1:15" x14ac:dyDescent="0.4">
      <c r="B8" s="4" t="s">
        <v>12</v>
      </c>
      <c r="C8" s="4" t="s">
        <v>15</v>
      </c>
      <c r="D8" s="4" t="s">
        <v>16</v>
      </c>
      <c r="O8" t="s">
        <v>18</v>
      </c>
    </row>
    <row r="9" spans="1:15" x14ac:dyDescent="0.4">
      <c r="B9" s="4">
        <v>1</v>
      </c>
      <c r="C9">
        <f ca="1">$B$6*EXP(($B$2-0.5*$B$3^2)*$B$5+$B$3*SQRT($B$5)*_xlfn.NORM.INV(RAND(),0,1))</f>
        <v>93.893616679101171</v>
      </c>
      <c r="D9" t="b">
        <f ca="1">IF((B6&lt;C9), TRUE, FALSE)</f>
        <v>0</v>
      </c>
      <c r="O9" cm="1">
        <f t="array" aca="1" ref="O9" ca="1">$B$6*EXP(($B$2-0.5*$B$3^2)*$B$5+$B$3*SQRT($B$5)*_xll.PSINORMAL(0,1))+_xll.PSIOUTPUT()</f>
        <v>94.34004987903262</v>
      </c>
    </row>
    <row r="10" spans="1:15" x14ac:dyDescent="0.4">
      <c r="B10" s="4">
        <v>2</v>
      </c>
      <c r="C10">
        <f ca="1">C9*EXP(($B$2-0.5*$B$3^2)*$B$5+$B$3*SQRT($B$5)*_xlfn.NORM.INV(RAND(),0,1))</f>
        <v>93.616908899717785</v>
      </c>
      <c r="D10" t="b">
        <f ca="1">IF((C9&lt;C10), TRUE, FALSE)</f>
        <v>0</v>
      </c>
      <c r="E10" s="5" t="s">
        <v>14</v>
      </c>
      <c r="F10">
        <f ca="1">AVERAGE(C9:C14)</f>
        <v>93.778849467536276</v>
      </c>
      <c r="O10" cm="1">
        <f t="array" aca="1" ref="O10" ca="1">O9*EXP(($B$2-0.5*$B$3^2)*$B$5+$B$3*SQRT($B$5)*_xll.PSINORMAL(0,1))</f>
        <v>94.291732870009511</v>
      </c>
    </row>
    <row r="11" spans="1:15" x14ac:dyDescent="0.4">
      <c r="B11" s="4">
        <v>3</v>
      </c>
      <c r="C11">
        <f ca="1">C10*EXP(($B$2-0.5*$B$3^2)*$B$5+$B$3*SQRT($B$5)*_xlfn.NORM.INV(RAND(),0,1))</f>
        <v>93.86389048909372</v>
      </c>
      <c r="D11" t="b">
        <f t="shared" ref="D11:D13" ca="1" si="0">IF((C10&lt;C11), TRUE, FALSE)</f>
        <v>1</v>
      </c>
      <c r="E11" s="3" t="s">
        <v>11</v>
      </c>
      <c r="F11">
        <f ca="1">_xlfn.STDEV.P(C9:C14)</f>
        <v>0.10750265119782464</v>
      </c>
      <c r="O11" cm="1">
        <f t="array" aca="1" ref="O11" ca="1">O10*EXP(($B$2-0.5*$B$3^2)*$B$5+$B$3*SQRT($B$5)*_xll.PSINORMAL(0,1))</f>
        <v>94.236399356467984</v>
      </c>
    </row>
    <row r="12" spans="1:15" x14ac:dyDescent="0.4">
      <c r="B12" s="4">
        <v>4</v>
      </c>
      <c r="C12">
        <f t="shared" ref="C12:C13" ca="1" si="1">C11*EXP(($B$2-0.5*$B$3^2)*$B$5+$B$3*SQRT($B$5)*_xlfn.NORM.INV(RAND(),0,1))</f>
        <v>93.687669927981659</v>
      </c>
      <c r="D12" t="b">
        <f t="shared" ca="1" si="0"/>
        <v>0</v>
      </c>
      <c r="O12" cm="1">
        <f t="array" aca="1" ref="O12" ca="1">O11*EXP(($B$2-0.5*$B$3^2)*$B$5+$B$3*SQRT($B$5)*_xll.PSINORMAL(0,1))</f>
        <v>94.325857077253119</v>
      </c>
    </row>
    <row r="13" spans="1:15" x14ac:dyDescent="0.4">
      <c r="B13" s="4">
        <v>5</v>
      </c>
      <c r="C13">
        <f t="shared" ca="1" si="1"/>
        <v>93.832161341786986</v>
      </c>
      <c r="D13" t="b">
        <f t="shared" ca="1" si="0"/>
        <v>1</v>
      </c>
      <c r="O13" cm="1">
        <f t="array" aca="1" ref="O13" ca="1">O12*EXP(($B$2-0.5*$B$3^2)*$B$5+$B$3*SQRT($B$5)*_xll.PSINORMAL(0,1))</f>
        <v>94.354387718235955</v>
      </c>
    </row>
    <row r="1048550" spans="16381:16382" x14ac:dyDescent="0.4">
      <c r="XFA1048550">
        <f>0</f>
        <v>0</v>
      </c>
      <c r="XFB1048550">
        <f>10</f>
        <v>10</v>
      </c>
    </row>
    <row r="1048551" spans="16381:16382" x14ac:dyDescent="0.4">
      <c r="XFA1048551" t="str">
        <f>""</f>
        <v/>
      </c>
      <c r="XFB1048551">
        <f>5</f>
        <v>5</v>
      </c>
    </row>
    <row r="1048552" spans="16381:16382" x14ac:dyDescent="0.4">
      <c r="XFA1048552" t="str">
        <f>""</f>
        <v/>
      </c>
    </row>
    <row r="1048553" spans="16381:16382" x14ac:dyDescent="0.4">
      <c r="XFA1048553" t="str">
        <f>""</f>
        <v/>
      </c>
    </row>
    <row r="1048554" spans="16381:16382" x14ac:dyDescent="0.4">
      <c r="XFA1048554" t="str">
        <f>""</f>
        <v/>
      </c>
    </row>
    <row r="1048555" spans="16381:16382" x14ac:dyDescent="0.4">
      <c r="XFA1048555" t="str">
        <f>""</f>
        <v/>
      </c>
    </row>
    <row r="1048556" spans="16381:16382" x14ac:dyDescent="0.4">
      <c r="XFA1048556" t="str">
        <f>""</f>
        <v/>
      </c>
    </row>
    <row r="1048557" spans="16381:16382" x14ac:dyDescent="0.4">
      <c r="XFA1048557" t="str">
        <f>""</f>
        <v/>
      </c>
    </row>
    <row r="1048558" spans="16381:16382" x14ac:dyDescent="0.4">
      <c r="XFA1048558" t="str">
        <f>""</f>
        <v/>
      </c>
    </row>
    <row r="1048559" spans="16381:16382" x14ac:dyDescent="0.4">
      <c r="XFA1048559" t="str">
        <f>""</f>
        <v/>
      </c>
    </row>
  </sheetData>
  <phoneticPr fontId="19" type="noConversion"/>
  <conditionalFormatting sqref="D8:D13 D162:D1048576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Download Data - STOCK_US_XNAS_N</vt:lpstr>
      <vt:lpstr>Log Returns</vt:lpstr>
      <vt:lpstr>Monte Carlo 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Yiyang Lei</dc:creator>
  <cp:lastModifiedBy>Yisi Lu</cp:lastModifiedBy>
  <cp:lastPrinted>2025-04-06T04:34:01Z</cp:lastPrinted>
  <dcterms:created xsi:type="dcterms:W3CDTF">2025-04-05T04:23:55Z</dcterms:created>
  <dcterms:modified xsi:type="dcterms:W3CDTF">2025-04-07T09:37:06Z</dcterms:modified>
</cp:coreProperties>
</file>